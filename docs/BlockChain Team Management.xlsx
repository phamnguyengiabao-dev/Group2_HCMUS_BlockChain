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0236A1D6-7939-4DA8-8519-247722D201E2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8" i="2" l="1"/>
  <c r="Q118" i="2" s="1"/>
  <c r="P117" i="2"/>
  <c r="Q117" i="2" s="1"/>
  <c r="Q116" i="2"/>
  <c r="P116" i="2"/>
  <c r="P115" i="2"/>
  <c r="Q115" i="2" s="1"/>
  <c r="P114" i="2"/>
  <c r="Q114" i="2" s="1"/>
  <c r="Q113" i="2"/>
  <c r="P113" i="2"/>
  <c r="P112" i="2"/>
  <c r="Q112" i="2" s="1"/>
  <c r="Q111" i="2"/>
  <c r="P111" i="2"/>
  <c r="Q110" i="2"/>
  <c r="P110" i="2"/>
  <c r="P109" i="2"/>
  <c r="Q109" i="2" s="1"/>
  <c r="P106" i="2"/>
  <c r="Q106" i="2" s="1"/>
  <c r="Q105" i="2"/>
  <c r="P105" i="2"/>
  <c r="P104" i="2"/>
  <c r="Q104" i="2" s="1"/>
  <c r="Q103" i="2"/>
  <c r="P103" i="2"/>
  <c r="Q102" i="2"/>
  <c r="P102" i="2"/>
  <c r="P101" i="2"/>
  <c r="Q101" i="2" s="1"/>
  <c r="P100" i="2"/>
  <c r="Q100" i="2" s="1"/>
  <c r="Q99" i="2"/>
  <c r="P99" i="2"/>
  <c r="P98" i="2"/>
  <c r="Q98" i="2" s="1"/>
  <c r="Q97" i="2"/>
  <c r="P97" i="2"/>
  <c r="Q96" i="2"/>
  <c r="P96" i="2"/>
  <c r="P93" i="2"/>
  <c r="Q93" i="2" s="1"/>
  <c r="P92" i="2"/>
  <c r="Q92" i="2" s="1"/>
  <c r="Q91" i="2"/>
  <c r="P91" i="2"/>
  <c r="P90" i="2"/>
  <c r="Q90" i="2" s="1"/>
  <c r="Q89" i="2"/>
  <c r="P89" i="2"/>
  <c r="Q88" i="2"/>
  <c r="P88" i="2"/>
  <c r="P87" i="2"/>
  <c r="Q87" i="2" s="1"/>
  <c r="P86" i="2"/>
  <c r="Q86" i="2" s="1"/>
  <c r="Q85" i="2"/>
  <c r="P85" i="2"/>
  <c r="P84" i="2"/>
  <c r="Q84" i="2" s="1"/>
  <c r="Q83" i="2"/>
  <c r="P83" i="2"/>
  <c r="Q82" i="2"/>
  <c r="P82" i="2"/>
  <c r="P79" i="2"/>
  <c r="Q79" i="2" s="1"/>
  <c r="P78" i="2"/>
  <c r="Q78" i="2" s="1"/>
  <c r="Q77" i="2"/>
  <c r="P77" i="2"/>
  <c r="P76" i="2"/>
  <c r="Q76" i="2" s="1"/>
  <c r="Q75" i="2"/>
  <c r="P75" i="2"/>
  <c r="Q74" i="2"/>
  <c r="P74" i="2"/>
  <c r="P73" i="2"/>
  <c r="Q73" i="2" s="1"/>
  <c r="P72" i="2"/>
  <c r="Q72" i="2" s="1"/>
  <c r="Q71" i="2"/>
  <c r="P71" i="2"/>
  <c r="P70" i="2"/>
  <c r="Q70" i="2" s="1"/>
  <c r="Q69" i="2"/>
  <c r="P69" i="2"/>
  <c r="Q68" i="2"/>
  <c r="P68" i="2"/>
  <c r="P67" i="2"/>
  <c r="Q67" i="2" s="1"/>
  <c r="P66" i="2"/>
  <c r="Q66" i="2" s="1"/>
  <c r="Q65" i="2"/>
  <c r="P65" i="2"/>
  <c r="P64" i="2"/>
  <c r="Q64" i="2" s="1"/>
  <c r="Q61" i="2"/>
  <c r="P61" i="2"/>
  <c r="Q60" i="2"/>
  <c r="P60" i="2"/>
  <c r="P59" i="2"/>
  <c r="Q59" i="2" s="1"/>
  <c r="P58" i="2"/>
  <c r="Q58" i="2" s="1"/>
  <c r="Q57" i="2"/>
  <c r="P57" i="2"/>
  <c r="P56" i="2"/>
  <c r="Q56" i="2" s="1"/>
  <c r="Q55" i="2"/>
  <c r="P55" i="2"/>
  <c r="Q54" i="2"/>
  <c r="P54" i="2"/>
  <c r="P53" i="2"/>
  <c r="Q53" i="2" s="1"/>
  <c r="E12" i="2" s="1"/>
  <c r="P52" i="2"/>
  <c r="Q52" i="2" s="1"/>
  <c r="Q51" i="2"/>
  <c r="P51" i="2"/>
  <c r="P50" i="2"/>
  <c r="Q50" i="2" s="1"/>
  <c r="Q49" i="2"/>
  <c r="P49" i="2"/>
  <c r="Q48" i="2"/>
  <c r="P48" i="2"/>
  <c r="P45" i="2"/>
  <c r="Q45" i="2" s="1"/>
  <c r="P44" i="2"/>
  <c r="Q44" i="2" s="1"/>
  <c r="E9" i="2" s="1"/>
  <c r="Q43" i="2"/>
  <c r="P43" i="2"/>
  <c r="P42" i="2"/>
  <c r="Q42" i="2" s="1"/>
  <c r="Q41" i="2"/>
  <c r="P41" i="2"/>
  <c r="Q40" i="2"/>
  <c r="P40" i="2"/>
  <c r="P39" i="2"/>
  <c r="Q39" i="2" s="1"/>
  <c r="P38" i="2"/>
  <c r="Q38" i="2" s="1"/>
  <c r="Q37" i="2"/>
  <c r="P37" i="2"/>
  <c r="P36" i="2"/>
  <c r="Q36" i="2" s="1"/>
  <c r="E10" i="2" s="1"/>
  <c r="Q35" i="2"/>
  <c r="P35" i="2"/>
  <c r="Q34" i="2"/>
  <c r="P34" i="2"/>
  <c r="P33" i="2"/>
  <c r="Q33" i="2" s="1"/>
  <c r="P32" i="2"/>
  <c r="Q32" i="2" s="1"/>
  <c r="E11" i="2" s="1"/>
  <c r="Q31" i="2"/>
  <c r="P31" i="2"/>
  <c r="P28" i="2"/>
  <c r="Q28" i="2" s="1"/>
  <c r="Q27" i="2"/>
  <c r="P27" i="2"/>
  <c r="Q26" i="2"/>
  <c r="P26" i="2"/>
  <c r="P25" i="2"/>
  <c r="Q25" i="2" s="1"/>
  <c r="P24" i="2"/>
  <c r="Q24" i="2" s="1"/>
  <c r="E8" i="2" s="1"/>
  <c r="Q23" i="2"/>
  <c r="P23" i="2"/>
  <c r="S17" i="2"/>
  <c r="T17" i="2" s="1"/>
  <c r="R17" i="2"/>
  <c r="S16" i="2"/>
  <c r="R16" i="2"/>
  <c r="D12" i="2"/>
  <c r="D11" i="2"/>
  <c r="D10" i="2"/>
  <c r="D9" i="2"/>
  <c r="D8" i="2"/>
  <c r="G9" i="2" l="1"/>
  <c r="F9" i="2"/>
  <c r="U17" i="2"/>
  <c r="T16" i="2"/>
  <c r="G11" i="2"/>
  <c r="F11" i="2"/>
  <c r="G10" i="2"/>
  <c r="F10" i="2"/>
  <c r="G8" i="2"/>
  <c r="F8" i="2"/>
  <c r="G12" i="2"/>
  <c r="F12" i="2"/>
  <c r="V17" i="2" l="1"/>
  <c r="U16" i="2"/>
  <c r="W17" i="2" l="1"/>
  <c r="V16" i="2"/>
  <c r="X17" i="2" l="1"/>
  <c r="W16" i="2"/>
  <c r="Y17" i="2" l="1"/>
  <c r="X16" i="2"/>
  <c r="Z17" i="2" l="1"/>
  <c r="Y16" i="2"/>
  <c r="AA17" i="2" l="1"/>
  <c r="Z16" i="2"/>
  <c r="AB17" i="2" l="1"/>
  <c r="AA16" i="2"/>
  <c r="AC17" i="2" l="1"/>
  <c r="AB16" i="2"/>
  <c r="AC16" i="2" l="1"/>
  <c r="AD17" i="2"/>
  <c r="AE17" i="2" l="1"/>
  <c r="AD16" i="2"/>
  <c r="AF17" i="2" l="1"/>
  <c r="AE16" i="2"/>
  <c r="AG17" i="2" l="1"/>
  <c r="AF16" i="2"/>
  <c r="AH17" i="2" l="1"/>
  <c r="AG16" i="2"/>
  <c r="AI17" i="2" l="1"/>
  <c r="AH16" i="2"/>
  <c r="AJ17" i="2" l="1"/>
  <c r="AI16" i="2"/>
  <c r="AK17" i="2" l="1"/>
  <c r="AJ16" i="2"/>
  <c r="AL17" i="2" l="1"/>
  <c r="AK16" i="2"/>
  <c r="AM17" i="2" l="1"/>
  <c r="AL16" i="2"/>
  <c r="AN17" i="2" l="1"/>
  <c r="AM16" i="2"/>
  <c r="AO17" i="2" l="1"/>
  <c r="AN16" i="2"/>
  <c r="AO16" i="2" l="1"/>
  <c r="AP17" i="2"/>
  <c r="AQ17" i="2" l="1"/>
  <c r="AP16" i="2"/>
  <c r="AR17" i="2" l="1"/>
  <c r="AQ16" i="2"/>
  <c r="AS17" i="2" l="1"/>
  <c r="AR16" i="2"/>
  <c r="AT17" i="2" l="1"/>
  <c r="AS16" i="2"/>
  <c r="AU17" i="2" l="1"/>
  <c r="AT16" i="2"/>
  <c r="AV17" i="2" l="1"/>
  <c r="AU16" i="2"/>
  <c r="AW17" i="2" l="1"/>
  <c r="AV16" i="2"/>
  <c r="AX17" i="2" l="1"/>
  <c r="AW16" i="2"/>
  <c r="AY17" i="2" l="1"/>
  <c r="AX16" i="2"/>
  <c r="AZ17" i="2" l="1"/>
  <c r="AY16" i="2"/>
  <c r="BA17" i="2" l="1"/>
  <c r="AZ16" i="2"/>
  <c r="BA16" i="2" l="1"/>
  <c r="BB17" i="2"/>
  <c r="BC17" i="2" l="1"/>
  <c r="BB16" i="2"/>
  <c r="BD17" i="2" l="1"/>
  <c r="BC16" i="2"/>
  <c r="BE17" i="2" l="1"/>
  <c r="BD16" i="2"/>
  <c r="BF17" i="2" l="1"/>
  <c r="BE16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M16" i="2" l="1"/>
  <c r="BN17" i="2"/>
  <c r="BO17" i="2" l="1"/>
  <c r="BN16" i="2"/>
  <c r="BP17" i="2" l="1"/>
  <c r="BO16" i="2"/>
  <c r="BQ17" i="2" l="1"/>
  <c r="BP16" i="2"/>
  <c r="BR17" i="2" l="1"/>
  <c r="BQ16" i="2"/>
  <c r="BS17" i="2" l="1"/>
  <c r="BR16" i="2"/>
  <c r="BT17" i="2" l="1"/>
  <c r="BS16" i="2"/>
  <c r="BU17" i="2" l="1"/>
  <c r="BT16" i="2"/>
  <c r="BV17" i="2" l="1"/>
  <c r="BU16" i="2"/>
  <c r="BW17" i="2" l="1"/>
  <c r="BV16" i="2"/>
  <c r="BX17" i="2" l="1"/>
  <c r="BW16" i="2"/>
  <c r="BY17" i="2" l="1"/>
  <c r="BX16" i="2"/>
  <c r="BY16" i="2" l="1"/>
  <c r="BZ17" i="2"/>
  <c r="CA17" i="2" l="1"/>
  <c r="BZ16" i="2"/>
  <c r="CB17" i="2" l="1"/>
  <c r="CA16" i="2"/>
  <c r="CC17" i="2" l="1"/>
  <c r="CB16" i="2"/>
  <c r="CD17" i="2" l="1"/>
  <c r="CC16" i="2"/>
  <c r="CE17" i="2" l="1"/>
  <c r="CD16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K16" i="2" l="1"/>
  <c r="CL17" i="2"/>
  <c r="CM17" i="2" l="1"/>
  <c r="CL16" i="2"/>
  <c r="CN17" i="2" l="1"/>
  <c r="CM16" i="2"/>
  <c r="CO17" i="2" l="1"/>
  <c r="CN16" i="2"/>
  <c r="CP17" i="2" l="1"/>
  <c r="CO16" i="2"/>
  <c r="CQ17" i="2" l="1"/>
  <c r="CP16" i="2"/>
  <c r="CR17" i="2" l="1"/>
  <c r="CQ16" i="2"/>
  <c r="CS17" i="2" l="1"/>
  <c r="CR16" i="2"/>
  <c r="CT17" i="2" l="1"/>
  <c r="CS16" i="2"/>
  <c r="CU17" i="2" l="1"/>
  <c r="CT16" i="2"/>
  <c r="CV17" i="2" l="1"/>
  <c r="CU16" i="2"/>
  <c r="CW17" i="2" l="1"/>
  <c r="CW16" i="2" s="1"/>
  <c r="CV16" i="2"/>
</calcChain>
</file>

<file path=xl/sharedStrings.xml><?xml version="1.0" encoding="utf-8"?>
<sst xmlns="http://schemas.openxmlformats.org/spreadsheetml/2006/main" count="538" uniqueCount="436">
  <si>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</si>
  <si>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</si>
  <si>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</si>
  <si>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</si>
  <si>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</si>
  <si>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</si>
  <si>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</si>
  <si>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</si>
  <si>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</si>
  <si>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</si>
  <si>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</si>
  <si>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</si>
  <si>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</si>
  <si>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</si>
  <si>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</si>
  <si>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</si>
  <si>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</si>
  <si>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</si>
  <si>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</si>
  <si>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</si>
  <si>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</si>
  <si>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</si>
  <si>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</si>
  <si>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</si>
  <si>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</si>
  <si>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</si>
  <si>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</si>
  <si>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</si>
  <si>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</si>
  <si>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</si>
  <si>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</si>
  <si>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</si>
  <si>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</si>
  <si>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</si>
  <si>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</si>
  <si>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</si>
  <si>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</si>
  <si>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</si>
  <si>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</si>
  <si>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</si>
  <si>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</si>
  <si>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</si>
  <si>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 dự án</t>
  </si>
  <si>
    <t>Tạo src/, tests/, logs/, config/ + __init__.py đúng vị trí; đảm bảo Python package structure hợp lệ</t>
  </si>
  <si>
    <t>src/__init__.py tồn tại: 20%
tests/__init__.py tồn tại: 20%
logs/.gitkeep: 20%
config/.gitkeep: 20%
python -c "import src" không lỗi: 20%</t>
  </si>
  <si>
    <t>Nền tảng cho toàn bộ import path; thiếu là không chạy được gì</t>
  </si>
  <si>
    <t>Cấu trúc thư mục hoàn chỉnh, import src pass</t>
  </si>
  <si>
    <t>T0-02</t>
  </si>
  <si>
    <t>Viết README.md</t>
  </si>
  <si>
    <t>README.md root: hướng dẫn cài đặt (pip install -r requirements.txt), lệnh chạy test (pytest), mô tả dự án + cấu trúc thư mục</t>
  </si>
  <si>
    <t>Hướng dẫn cài đặt rõ ràng: 34%
Lệnh chạy test đúng: 33%
Mô tả dự án + cấu trúc thư mục: 33%</t>
  </si>
  <si>
    <t>Onboarding cho toàn nhóm; giảng viên đọc trước tiên</t>
  </si>
  <si>
    <t>README.md hoàn chỉnh</t>
  </si>
  <si>
    <t>T0-03</t>
  </si>
  <si>
    <t>Tạo config/default.json</t>
  </si>
  <si>
    <t>Định nghĩa block_capacity, timeout_schedule (proposal/prevote/precommit), retention_policy, network limits — căn cứ PROTOCOL_SPEC.md</t>
  </si>
  <si>
    <t>block_capacity hợp lệ: 25%
timeout_schedule đủ 3 loại timeout: 25%
retention_policy định nghĩa: 25%
network limits (bandwidth, msg_size_max): 25%</t>
  </si>
  <si>
    <t>Config baseline cho mọi scenario; sai 1 trường = scenario tests fail</t>
  </si>
  <si>
    <t>config/default.json đúng spec, scenario_runner load thành công</t>
  </si>
  <si>
    <t>T0-04</t>
  </si>
  <si>
    <t>Tạo 8 cặp khóa Ed25519 cố định (seed-based HKDF)</t>
  </si>
  <si>
    <t>Generate 8 cặp key Ed25519 deterministic từ seed cố định bằng HKDF; lưu validator_keys.json; format {pubkey_hex: privkey_hex}; thứ tự lexicographic theo pubkey bytes</t>
  </si>
  <si>
    <t>8 cặp key đủ: 25%
Seed cố định — cùng seed sinh cùng keys: 25%
Format JSON đúng (pubkey/privkey hex lowercase): 25%
Sắp xếp lexicographic pubkey: 25%</t>
  </si>
  <si>
    <t>Keys dùng xuyên suốt T1-T8; sai format hoặc thứ tự = hỏng toàn bộ crypto/consensus pipeline</t>
  </si>
  <si>
    <t>8 cặp key deterministic, format đúng, lexicographic order xác nhận</t>
  </si>
  <si>
    <t>T0-05</t>
  </si>
  <si>
    <t>Tạo 3 scenario config files (noop, t1, t8)</t>
  </si>
  <si>
    <t>config/scenario_noop.json (no fault, 1 height), scenario_t1.json (8 nodes, max_height=3, no fault), scenario_t8.json (determinism seed); mỗi file có fault_config, network_params, max_height, seed</t>
  </si>
  <si>
    <t>scenario_noop.json load + noop chạy pass: 34%
scenario_t1.json cấu trúc đúng (8 nodes): 33%
scenario_t8.json có seed field xác định: 33%</t>
  </si>
  <si>
    <t>Template schema cho T5-01→T5-08 sau này; sai schema = runner không load được</t>
  </si>
  <si>
    <t>3 scenario files hoàn chỉnh, scenario_runner load không lỗi</t>
  </si>
  <si>
    <t>T0-06</t>
  </si>
  <si>
    <t>Implement event_log + scenario_runner + noop test suite</t>
  </si>
  <si>
    <t>src/event_log.py: canonical JSONL writer, fixed key order, event_no monotonic, logical_time tracking;
src/scenario_runner.py: load config, init validator nodes, run deterministic simulation loop, shutdown;
tests/test_noop.py: 3 test cases (creates_log, valid_jsonl, monotonic_event_no);
tests/verify_determinism.py: chạy 2 lần cùng seed, assert log bytes identical</t>
  </si>
  <si>
    <t>test_noop_scenario_creates_log PASS: 20%
test_noop_scenario_log_is_valid_jsonl PASS: 20%
test_noop_scenario_event_nos_are_monotonic PASS: 20%
verify_determinism chạy không lỗi, output identical: 20%
Canonical JSONL format đúng spec F-49/F-50 (fixed key order, no whitespace): 20%</t>
  </si>
  <si>
    <t>Task nặng nhất G0: 4 files, 2 module nguồn đầy đủ (event_log + scenario_runner), test suite 3 cases đều pass, determinism xác nhận. Baseline cho T5-08 (determinism scenario).</t>
  </si>
  <si>
    <t>Tất cả 3 tests pass, verify_determinism xác nhận, JSONL format đúng spec</t>
  </si>
  <si>
    <t>G1</t>
  </si>
  <si>
    <t>GIAI ĐOẠN 1 — Primitive Xác Định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</si>
  <si>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</si>
  <si>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</si>
  <si>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</si>
  <si>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</si>
  <si>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</si>
  <si>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</si>
  <si>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</si>
  <si>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</si>
  <si>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</si>
  <si>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</si>
  <si>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</si>
  <si>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</si>
  <si>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</si>
  <si>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</si>
  <si>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</si>
  <si>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</si>
  <si>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</si>
  <si>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</t>
  </si>
  <si>
    <t>tests/test_encoding.py — test encode_uint64, encode_bool, encode_bytes, encode_str, encode_optional_hash, encode_sorted_map</t>
  </si>
  <si>
    <t>Test encode_sorted_map (3 cases): 40%
Test encode_uint64: 15%
Test encode_bool: 15%
Test encode_bytes: 15%
Test encode_optional_hash: 15%</t>
  </si>
  <si>
    <t>Khánh đã test encode_sorted_map; Huy bổ sung test 4 hàm còn lại</t>
  </si>
  <si>
    <t>Done — commit 50c99d7 (branch Huy_T1-04, merged). 274 lines, covers encode_uint64/bool/bytes/str/optional_hash + cross-cutting determinism tests.</t>
  </si>
  <si>
    <t>T1-05</t>
  </si>
  <si>
    <t>hash_bytes — SHA-256 wrapper</t>
  </si>
  <si>
    <t>src/crypto.py — hash_bytes(data) -&gt; bytes, 32 bytes</t>
  </si>
  <si>
    <t>Import SHA-256: 50%
Trả đúng 32 bytes: 50%</t>
  </si>
  <si>
    <t>Done — commit ddda961 (merged to Main). hash_bytes() + 8 unit tests all pass.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</si>
  <si>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</si>
  <si>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</si>
  <si>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</si>
  <si>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</si>
  <si>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</si>
  <si>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</si>
  <si>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</si>
  <si>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</si>
  <si>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</si>
  <si>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</si>
  <si>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</si>
  <si>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</si>
  <si>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</si>
  <si>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</si>
  <si>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</si>
  <si>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</si>
  <si>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T1-10</t>
  </si>
  <si>
    <t>Sorted key-value state map</t>
  </si>
  <si>
    <t>src/state.py — insert/get/delete; dùng sorted dict đảm bảo thứ tự</t>
  </si>
  <si>
    <t>insert() sorted order: 34%
get() đúng: 33%
delete() đúng: 33%</t>
  </si>
  <si>
    <t>Done — commit 4c15296 (branch Huy_T1-10/11, pending merge). State class: insert/get/delete/copy, NFC-normalized keys, always sorted iteration.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</si>
  <si>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</si>
  <si>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</si>
  <si>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</si>
  <si>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</si>
  <si>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Done — commit 4c15296 (branch Huy_T1-10/11, pending merge). state_hash() = SHA256(canonical_bytes()), state_hash_hex() for logging.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</si>
  <si>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</si>
  <si>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</si>
  <si>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</si>
  <si>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</si>
  <si>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</si>
  <si>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</si>
  <si>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block</t>
  </si>
  <si>
    <t>Apply ordered: 34%
Update nonces: 33%
Invalid tx → invalidate block: 33%</t>
  </si>
  <si>
    <t>T1-14</t>
  </si>
  <si>
    <t>Unit test determinism executor</t>
  </si>
  <si>
    <t>tests/test_executor.py — cùng block 2 lần → byte/hash giống nhau</t>
  </si>
  <si>
    <t>Same post-state hash: 50%
Same nonces: 50%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</si>
  <si>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</si>
  <si>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</si>
  <si>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</si>
  <si>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</si>
  <si>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</si>
  <si>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</si>
  <si>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</si>
  <si>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</si>
  <si>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</si>
  <si>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</si>
  <si>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T2-02</t>
  </si>
  <si>
    <t>tx_root computation</t>
  </si>
  <si>
    <t>src/block.py — SHA256(encode(count) || tx_id[0] || ...); rỗng = hash(count=0)</t>
  </si>
  <si>
    <t>Tính đúng khi có txs: 50%
Block rỗng hash(count=0): 50%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</si>
  <si>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</si>
  <si>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</si>
  <si>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</si>
  <si>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</si>
  <si>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</si>
  <si>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</si>
  <si>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</si>
  <si>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</si>
  <si>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</si>
  <si>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</si>
  <si>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</si>
  <si>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</si>
  <si>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</si>
  <si>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</si>
  <si>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</si>
  <si>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</si>
  <si>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T2-07</t>
  </si>
  <si>
    <t>VoteSet storage</t>
  </si>
  <si>
    <t>src/vote_set.py — key (height, round, phase, validator_pubkey)</t>
  </si>
  <si>
    <t>Key 4 thành phần: 50%
Store/retrieve đúng: 50%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</si>
  <si>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</si>
  <si>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</si>
  <si>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</si>
  <si>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</si>
  <si>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</si>
  <si>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</si>
  <si>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</si>
  <si>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</si>
  <si>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</si>
  <si>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</si>
  <si>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</si>
  <si>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</si>
  <si>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</si>
  <si>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</si>
  <si>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</si>
  <si>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</si>
  <si>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</si>
  <si>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</si>
  <si>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</si>
  <si>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</si>
  <si>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T2-13</t>
  </si>
  <si>
    <t>Atomic persist (F-52)</t>
  </si>
  <si>
    <t>src/ledger.py — ghi nguyên tử height, hash, state, nonces, block</t>
  </si>
  <si>
    <t>All-or-nothing: 50%
Đủ 5 trường: 50%</t>
  </si>
  <si>
    <t>T2-14</t>
  </si>
  <si>
    <t>Crash recovery (F-53)</t>
  </si>
  <si>
    <t>src/ledger.py — load snapshot, discard unfinalized proposals/votes</t>
  </si>
  <si>
    <t>Load snapshot: 50%
Discard unfinalized: 50%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</si>
  <si>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</si>
  <si>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</si>
  <si>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</si>
  <si>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</si>
  <si>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</si>
  <si>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</si>
  <si>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</si>
  <si>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</si>
  <si>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</si>
  <si>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</si>
  <si>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</si>
  <si>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</si>
  <si>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</si>
  <si>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</si>
  <si>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</si>
  <si>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</si>
  <si>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</si>
  <si>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</si>
  <si>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</si>
  <si>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</si>
  <si>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</si>
  <si>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</si>
  <si>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</si>
  <si>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</si>
  <si>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</si>
  <si>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</si>
  <si>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</si>
  <si>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</si>
  <si>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</si>
  <si>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</si>
  <si>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</si>
  <si>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</si>
  <si>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</si>
  <si>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</si>
  <si>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</si>
  <si>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</si>
  <si>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</si>
  <si>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</si>
  <si>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</si>
  <si>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</si>
  <si>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</si>
  <si>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</si>
  <si>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</si>
  <si>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</si>
  <si>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</si>
  <si>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</si>
  <si>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</si>
  <si>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</si>
  <si>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</si>
  <si>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</si>
  <si>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</si>
  <si>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</si>
  <si>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</si>
  <si>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</si>
  <si>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</si>
  <si>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</si>
  <si>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</si>
  <si>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</si>
  <si>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</si>
  <si>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</si>
  <si>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</si>
  <si>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</si>
  <si>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</si>
  <si>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</si>
  <si>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</si>
  <si>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</si>
  <si>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</si>
  <si>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</si>
  <si>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</si>
  <si>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</si>
  <si>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</si>
  <si>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</si>
  <si>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</si>
  <si>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</si>
  <si>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</si>
  <si>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</si>
  <si>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</si>
  <si>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</si>
  <si>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</si>
  <si>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</si>
  <si>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</si>
  <si>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</si>
  <si>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</si>
  <si>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</si>
  <si>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</si>
  <si>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</si>
  <si>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</si>
  <si>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</si>
  <si>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</si>
  <si>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</si>
  <si>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</si>
  <si>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</si>
  <si>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</si>
  <si>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</si>
  <si>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</si>
  <si>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</si>
  <si>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</si>
  <si>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</si>
  <si>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</si>
  <si>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</si>
  <si>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</si>
  <si>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</si>
  <si>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</si>
  <si>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</si>
  <si>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</si>
  <si>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</si>
  <si>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</si>
  <si>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</si>
  <si>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</si>
  <si>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</si>
  <si>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</si>
  <si>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</si>
  <si>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</si>
  <si>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</si>
  <si>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</si>
  <si>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</si>
  <si>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từ gossip; log RESTART</t>
  </si>
  <si>
    <t>Load snapshot: 50%
Log RESTART: 50%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</si>
  <si>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</si>
  <si>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</si>
  <si>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</si>
  <si>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</si>
  <si>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</si>
  <si>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</si>
  <si>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</si>
  <si>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</si>
  <si>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</si>
  <si>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</si>
  <si>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</si>
  <si>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</si>
  <si>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</si>
  <si>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</si>
  <si>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</si>
  <si>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</si>
  <si>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</si>
  <si>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</si>
  <si>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</si>
  <si>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</si>
  <si>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</si>
  <si>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</si>
  <si>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</si>
  <si>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</si>
  <si>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change,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</si>
  <si>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</si>
  <si>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</si>
  <si>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</si>
  <si>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</si>
  <si>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</si>
  <si>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</si>
  <si>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</si>
  <si>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</t>
  </si>
  <si>
    <t>Log byte-identical: 50%
State hash same: 50%</t>
  </si>
  <si>
    <t>T5-09</t>
  </si>
  <si>
    <t>Export compact summary</t>
  </si>
  <si>
    <t>src/summary.py — (height,hash) per node, state hash, rejection counts, SHA256 log</t>
  </si>
  <si>
    <t>(height,hash) per node: 25%
State hash: 25%
Rejection counts: 25%
SHA256 log: 25%</t>
  </si>
  <si>
    <t>T5-10</t>
  </si>
  <si>
    <t>--verify-determinism script</t>
  </si>
  <si>
    <t>tests/verify_determinism.py — 2 lần T8, diff log + state hash, exit 0 nếu identical</t>
  </si>
  <si>
    <t>2 lần cùng seed: 34%
Diff log bytes: 33%
Exit 0 identical: 33%</t>
  </si>
  <si>
    <t>T5-11</t>
  </si>
  <si>
    <t>Viết REPORT.pdf</t>
  </si>
  <si>
    <t>REPORT.pdf — kết quả T1–T8, phân tích safety/liveness, &lt;= 10 trang</t>
  </si>
  <si>
    <t>Kết quả T1–T8: 34%
Safety analysis: 33%
Liveness analysis: 33%</t>
  </si>
  <si>
    <t>MANAGEMENT TASKS — Phạm Nguyễn Gia Bảo (TL)</t>
  </si>
  <si>
    <t>MG1-PR</t>
  </si>
  <si>
    <t>Review &amp; approve PR — Giai đoạn 1</t>
  </si>
  <si>
    <t>Đọc diff toàn bộ PR G1, kiểm tra correctness, canonical sort, test coverage; approve/request changes</t>
  </si>
  <si>
    <t>PR reviewed: 50%
Approved or feedback given: 50%</t>
  </si>
  <si>
    <t>Áp dụng cho toàn bộ PR của giai đoạn 1</t>
  </si>
  <si>
    <t>MG1-INT</t>
  </si>
  <si>
    <t>Tích hợp milestone 1</t>
  </si>
  <si>
    <t>Merge branches vào Main, resolve conflicts, chạy full test suite, cập nhật tài liệu trạng thái</t>
  </si>
  <si>
    <t>Branches merged: 34%
Full test suite pass: 33%
Tài liệu cập nhật: 33%</t>
  </si>
  <si>
    <t>Sau khi tất cả PR G1 approved</t>
  </si>
  <si>
    <t>MG2-PR</t>
  </si>
  <si>
    <t>Review &amp; approve PR — Giai đoạn 2</t>
  </si>
  <si>
    <t>Đọc diff toàn bộ PR G2, kiểm tra correctness, canonical sort, test coverage; approve/request changes</t>
  </si>
  <si>
    <t>Áp dụng cho toàn bộ PR của giai đoạn 2</t>
  </si>
  <si>
    <t>MG2-INT</t>
  </si>
  <si>
    <t>Tích hợp milestone 2</t>
  </si>
  <si>
    <t>Sau khi tất cả PR G2 approved</t>
  </si>
  <si>
    <t>MG3-PR</t>
  </si>
  <si>
    <t>Review &amp; approve PR — Giai đoạn 3</t>
  </si>
  <si>
    <t>Đọc diff toàn bộ PR G3, kiểm tra correctness, canonical sort, test coverage; approve/request changes</t>
  </si>
  <si>
    <t>Áp dụng cho toàn bộ PR của giai đoạn 3</t>
  </si>
  <si>
    <t>MG3-INT</t>
  </si>
  <si>
    <t>Tích hợp milestone 3</t>
  </si>
  <si>
    <t>Sau khi tất cả PR G3 approved</t>
  </si>
  <si>
    <t>MG4-PR</t>
  </si>
  <si>
    <t>Review &amp; approve PR — Giai đoạn 4</t>
  </si>
  <si>
    <t>Đọc diff toàn bộ PR G4, kiểm tra correctness, canonical sort, test coverage; approve/request changes</t>
  </si>
  <si>
    <t>Áp dụng cho toàn bộ PR của giai đoạn 4</t>
  </si>
  <si>
    <t>MG4-INT</t>
  </si>
  <si>
    <t>Tích hợp milestone 4</t>
  </si>
  <si>
    <t>Sau khi tất cả PR G4 approved</t>
  </si>
  <si>
    <t>MG5-PR</t>
  </si>
  <si>
    <t>Review &amp; approve PR — Giai đoạn 5</t>
  </si>
  <si>
    <t>Đọc diff toàn bộ PR G5, kiểm tra correctness, canonical sort, test coverage; approve/request changes</t>
  </si>
  <si>
    <t>Áp dụng cho toàn bộ PR của giai đoạn 5</t>
  </si>
  <si>
    <t>MG5-INT</t>
  </si>
  <si>
    <t>Tích hợp milestone 5</t>
  </si>
  <si>
    <t>Sau khi tất cả PR G5 approved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</si>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</sst>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"/>
    <numFmt numFmtId="165" formatCode="ddd"/>
    <numFmt numFmtId="166" formatCode="&quot;$&quot;#,##0.00"/>
    <numFmt numFmtId="167" formatCode="dd/mm/yyyy"/>
    <numFmt numFmtId="168" formatCode="yyyy\-mm\-dd\ h:mm:ss"/>
  </numFmts>
  <fonts count="42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1"/>
      <name val="Roboto"/>
    </font>
    <font>
      <b/>
      <sz val="10"/>
      <color rgb="FF00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0B5394"/>
        <bgColor rgb="FF0B5394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FFEB9C"/>
        <bgColor rgb="FFFFEB9C"/>
      </patternFill>
    </fill>
    <fill>
      <patternFill patternType="solid">
        <fgColor rgb="FFEBF5E1"/>
        <bgColor rgb="FFEBF5E1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3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8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1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165" fontId="29" fillId="16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0" fontId="38" fillId="19" borderId="22" xfId="0" applyFont="1" applyFill="1" applyBorder="1" applyAlignment="1">
      <alignment vertical="top" wrapText="1"/>
    </xf>
    <xf numFmtId="49" fontId="39" fillId="20" borderId="22" xfId="0" applyNumberFormat="1" applyFont="1" applyFill="1" applyBorder="1" applyAlignment="1">
      <alignment vertical="top" wrapText="1"/>
    </xf>
    <xf numFmtId="0" fontId="39" fillId="20" borderId="22" xfId="0" applyFont="1" applyFill="1" applyBorder="1" applyAlignment="1">
      <alignment vertical="top" wrapText="1"/>
    </xf>
    <xf numFmtId="167" fontId="39" fillId="20" borderId="22" xfId="0" applyNumberFormat="1" applyFont="1" applyFill="1" applyBorder="1" applyAlignment="1">
      <alignment vertical="top" wrapText="1"/>
    </xf>
    <xf numFmtId="9" fontId="39" fillId="20" borderId="22" xfId="0" applyNumberFormat="1" applyFont="1" applyFill="1" applyBorder="1" applyAlignment="1">
      <alignment vertical="top" wrapText="1"/>
    </xf>
    <xf numFmtId="49" fontId="38" fillId="21" borderId="22" xfId="0" applyNumberFormat="1" applyFont="1" applyFill="1" applyBorder="1" applyAlignment="1">
      <alignment vertical="top" wrapText="1"/>
    </xf>
    <xf numFmtId="0" fontId="38" fillId="21" borderId="22" xfId="0" applyFont="1" applyFill="1" applyBorder="1" applyAlignment="1">
      <alignment vertical="top" wrapText="1"/>
    </xf>
    <xf numFmtId="164" fontId="38" fillId="21" borderId="22" xfId="0" applyNumberFormat="1" applyFont="1" applyFill="1" applyBorder="1" applyAlignment="1">
      <alignment vertical="top" wrapText="1"/>
    </xf>
    <xf numFmtId="9" fontId="38" fillId="21" borderId="22" xfId="0" applyNumberFormat="1" applyFont="1" applyFill="1" applyBorder="1" applyAlignment="1">
      <alignment vertical="top" wrapText="1"/>
    </xf>
    <xf numFmtId="0" fontId="39" fillId="22" borderId="22" xfId="0" applyFont="1" applyFill="1" applyBorder="1" applyAlignment="1">
      <alignment vertical="top" wrapText="1"/>
    </xf>
    <xf numFmtId="167" fontId="39" fillId="22" borderId="22" xfId="0" applyNumberFormat="1" applyFont="1" applyFill="1" applyBorder="1" applyAlignment="1">
      <alignment vertical="top" wrapText="1"/>
    </xf>
    <xf numFmtId="9" fontId="39" fillId="22" borderId="22" xfId="0" applyNumberFormat="1" applyFont="1" applyFill="1" applyBorder="1" applyAlignment="1">
      <alignment vertical="top" wrapText="1"/>
    </xf>
    <xf numFmtId="0" fontId="39" fillId="23" borderId="22" xfId="0" applyFont="1" applyFill="1" applyBorder="1" applyAlignment="1">
      <alignment vertical="top" wrapText="1"/>
    </xf>
    <xf numFmtId="167" fontId="39" fillId="23" borderId="22" xfId="0" applyNumberFormat="1" applyFont="1" applyFill="1" applyBorder="1" applyAlignment="1">
      <alignment vertical="top" wrapText="1"/>
    </xf>
    <xf numFmtId="9" fontId="39" fillId="23" borderId="22" xfId="0" applyNumberFormat="1" applyFont="1" applyFill="1" applyBorder="1" applyAlignment="1">
      <alignment vertical="top" wrapText="1"/>
    </xf>
    <xf numFmtId="0" fontId="38" fillId="24" borderId="22" xfId="0" applyFont="1" applyFill="1" applyBorder="1" applyAlignment="1">
      <alignment vertical="top" wrapText="1"/>
    </xf>
    <xf numFmtId="164" fontId="38" fillId="24" borderId="22" xfId="0" applyNumberFormat="1" applyFont="1" applyFill="1" applyBorder="1" applyAlignment="1">
      <alignment vertical="top" wrapText="1"/>
    </xf>
    <xf numFmtId="9" fontId="38" fillId="24" borderId="22" xfId="0" applyNumberFormat="1" applyFont="1" applyFill="1" applyBorder="1" applyAlignment="1">
      <alignment vertical="top" wrapText="1"/>
    </xf>
    <xf numFmtId="0" fontId="39" fillId="25" borderId="22" xfId="0" applyFont="1" applyFill="1" applyBorder="1" applyAlignment="1">
      <alignment vertical="top" wrapText="1"/>
    </xf>
    <xf numFmtId="167" fontId="39" fillId="25" borderId="22" xfId="0" applyNumberFormat="1" applyFont="1" applyFill="1" applyBorder="1" applyAlignment="1">
      <alignment vertical="top" wrapText="1"/>
    </xf>
    <xf numFmtId="9" fontId="39" fillId="25" borderId="22" xfId="0" applyNumberFormat="1" applyFont="1" applyFill="1" applyBorder="1" applyAlignment="1">
      <alignment vertical="top" wrapText="1"/>
    </xf>
    <xf numFmtId="49" fontId="39" fillId="25" borderId="22" xfId="0" applyNumberFormat="1" applyFont="1" applyFill="1" applyBorder="1" applyAlignment="1">
      <alignment vertical="top" wrapText="1"/>
    </xf>
    <xf numFmtId="49" fontId="38" fillId="26" borderId="22" xfId="0" applyNumberFormat="1" applyFont="1" applyFill="1" applyBorder="1" applyAlignment="1">
      <alignment vertical="top" wrapText="1"/>
    </xf>
    <xf numFmtId="0" fontId="38" fillId="26" borderId="22" xfId="0" applyFont="1" applyFill="1" applyBorder="1" applyAlignment="1">
      <alignment vertical="top" wrapText="1"/>
    </xf>
    <xf numFmtId="164" fontId="38" fillId="26" borderId="22" xfId="0" applyNumberFormat="1" applyFont="1" applyFill="1" applyBorder="1" applyAlignment="1">
      <alignment vertical="top" wrapText="1"/>
    </xf>
    <xf numFmtId="9" fontId="38" fillId="26" borderId="22" xfId="0" applyNumberFormat="1" applyFont="1" applyFill="1" applyBorder="1" applyAlignment="1">
      <alignment vertical="top" wrapText="1"/>
    </xf>
    <xf numFmtId="49" fontId="39" fillId="27" borderId="22" xfId="0" applyNumberFormat="1" applyFont="1" applyFill="1" applyBorder="1" applyAlignment="1">
      <alignment vertical="top" wrapText="1"/>
    </xf>
    <xf numFmtId="0" fontId="39" fillId="27" borderId="22" xfId="0" applyFont="1" applyFill="1" applyBorder="1" applyAlignment="1">
      <alignment vertical="top" wrapText="1"/>
    </xf>
    <xf numFmtId="167" fontId="39" fillId="27" borderId="22" xfId="0" applyNumberFormat="1" applyFont="1" applyFill="1" applyBorder="1" applyAlignment="1">
      <alignment vertical="top" wrapText="1"/>
    </xf>
    <xf numFmtId="9" fontId="39" fillId="27" borderId="22" xfId="0" applyNumberFormat="1" applyFont="1" applyFill="1" applyBorder="1" applyAlignment="1">
      <alignment vertical="top" wrapText="1"/>
    </xf>
    <xf numFmtId="49" fontId="38" fillId="28" borderId="22" xfId="0" applyNumberFormat="1" applyFont="1" applyFill="1" applyBorder="1" applyAlignment="1">
      <alignment vertical="top" wrapText="1"/>
    </xf>
    <xf numFmtId="0" fontId="38" fillId="28" borderId="22" xfId="0" applyFont="1" applyFill="1" applyBorder="1" applyAlignment="1">
      <alignment vertical="top" wrapText="1"/>
    </xf>
    <xf numFmtId="164" fontId="38" fillId="28" borderId="22" xfId="0" applyNumberFormat="1" applyFont="1" applyFill="1" applyBorder="1" applyAlignment="1">
      <alignment vertical="top" wrapText="1"/>
    </xf>
    <xf numFmtId="9" fontId="38" fillId="28" borderId="22" xfId="0" applyNumberFormat="1" applyFont="1" applyFill="1" applyBorder="1" applyAlignment="1">
      <alignment vertical="top" wrapText="1"/>
    </xf>
    <xf numFmtId="0" fontId="39" fillId="29" borderId="22" xfId="0" applyFont="1" applyFill="1" applyBorder="1" applyAlignment="1">
      <alignment vertical="top" wrapText="1"/>
    </xf>
    <xf numFmtId="167" fontId="39" fillId="29" borderId="22" xfId="0" applyNumberFormat="1" applyFont="1" applyFill="1" applyBorder="1" applyAlignment="1">
      <alignment vertical="top" wrapText="1"/>
    </xf>
    <xf numFmtId="49" fontId="39" fillId="29" borderId="22" xfId="0" applyNumberFormat="1" applyFont="1" applyFill="1" applyBorder="1" applyAlignment="1">
      <alignment vertical="top" wrapText="1"/>
    </xf>
    <xf numFmtId="9" fontId="39" fillId="29" borderId="22" xfId="0" applyNumberFormat="1" applyFont="1" applyFill="1" applyBorder="1" applyAlignment="1">
      <alignment vertical="top" wrapText="1"/>
    </xf>
    <xf numFmtId="49" fontId="38" fillId="30" borderId="22" xfId="0" applyNumberFormat="1" applyFont="1" applyFill="1" applyBorder="1" applyAlignment="1">
      <alignment vertical="top" wrapText="1"/>
    </xf>
    <xf numFmtId="0" fontId="38" fillId="30" borderId="22" xfId="0" applyFont="1" applyFill="1" applyBorder="1" applyAlignment="1">
      <alignment vertical="top" wrapText="1"/>
    </xf>
    <xf numFmtId="164" fontId="38" fillId="30" borderId="22" xfId="0" applyNumberFormat="1" applyFont="1" applyFill="1" applyBorder="1" applyAlignment="1">
      <alignment vertical="top" wrapText="1"/>
    </xf>
    <xf numFmtId="9" fontId="38" fillId="30" borderId="22" xfId="0" applyNumberFormat="1" applyFont="1" applyFill="1" applyBorder="1" applyAlignment="1">
      <alignment vertical="top" wrapText="1"/>
    </xf>
    <xf numFmtId="49" fontId="39" fillId="31" borderId="22" xfId="0" applyNumberFormat="1" applyFont="1" applyFill="1" applyBorder="1" applyAlignment="1">
      <alignment vertical="top" wrapText="1"/>
    </xf>
    <xf numFmtId="0" fontId="39" fillId="31" borderId="22" xfId="0" applyFont="1" applyFill="1" applyBorder="1" applyAlignment="1">
      <alignment vertical="top" wrapText="1"/>
    </xf>
    <xf numFmtId="167" fontId="39" fillId="31" borderId="22" xfId="0" applyNumberFormat="1" applyFont="1" applyFill="1" applyBorder="1" applyAlignment="1">
      <alignment vertical="top" wrapText="1"/>
    </xf>
    <xf numFmtId="9" fontId="39" fillId="31" borderId="22" xfId="0" applyNumberFormat="1" applyFont="1" applyFill="1" applyBorder="1" applyAlignment="1">
      <alignment vertical="top" wrapText="1"/>
    </xf>
    <xf numFmtId="9" fontId="0" fillId="22" borderId="22" xfId="0" applyNumberFormat="1" applyFill="1" applyBorder="1" applyAlignment="1">
      <alignment vertical="top" wrapText="1"/>
    </xf>
    <xf numFmtId="168" fontId="22" fillId="0" borderId="0" xfId="0" applyNumberFormat="1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0" borderId="1" xfId="0" applyBorder="1"/>
    <xf numFmtId="0" fontId="26" fillId="6" borderId="8" xfId="0" applyFont="1" applyFill="1" applyBorder="1" applyAlignment="1">
      <alignment horizontal="center" vertical="center"/>
    </xf>
    <xf numFmtId="0" fontId="0" fillId="0" borderId="8" xfId="0" applyBorder="1"/>
    <xf numFmtId="0" fontId="30" fillId="17" borderId="0" xfId="0" applyFont="1" applyFill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26" fillId="7" borderId="8" xfId="0" applyFont="1" applyFill="1" applyBorder="1" applyAlignment="1">
      <alignment horizontal="center" vertical="center"/>
    </xf>
    <xf numFmtId="0" fontId="26" fillId="9" borderId="8" xfId="0" applyFont="1" applyFill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0" fillId="0" borderId="6" xfId="0" applyBorder="1"/>
    <xf numFmtId="0" fontId="21" fillId="0" borderId="6" xfId="0" applyFont="1" applyBorder="1" applyAlignment="1">
      <alignment horizontal="left" vertical="center"/>
    </xf>
    <xf numFmtId="0" fontId="20" fillId="0" borderId="6" xfId="0" applyFont="1" applyBorder="1" applyAlignment="1">
      <alignment horizontal="left" vertical="center"/>
    </xf>
    <xf numFmtId="0" fontId="21" fillId="2" borderId="6" xfId="0" applyFont="1" applyFill="1" applyBorder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vertical="center"/>
    </xf>
    <xf numFmtId="0" fontId="26" fillId="8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32" fillId="0" borderId="0" xfId="0" applyFont="1"/>
    <xf numFmtId="0" fontId="40" fillId="0" borderId="0" xfId="0" applyFont="1" applyAlignment="1">
      <alignment vertical="center"/>
    </xf>
    <xf numFmtId="0" fontId="40" fillId="0" borderId="0" xfId="0" applyFont="1" applyAlignment="1">
      <alignment horizontal="center" vertical="center"/>
    </xf>
    <xf numFmtId="167" fontId="40" fillId="0" borderId="0" xfId="0" applyNumberFormat="1" applyFont="1" applyAlignment="1">
      <alignment vertical="center"/>
    </xf>
    <xf numFmtId="0" fontId="41" fillId="0" borderId="0" xfId="0" applyFont="1"/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D16" sqref="D16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41" t="s">
        <v>409</v>
      </c>
      <c r="C5" s="142"/>
      <c r="D5" s="142"/>
      <c r="E5" s="142"/>
      <c r="F5" s="142"/>
      <c r="G5" s="142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410</v>
      </c>
      <c r="D7" s="65" t="s">
        <v>411</v>
      </c>
      <c r="E7" s="65" t="s">
        <v>412</v>
      </c>
      <c r="F7" s="65" t="s">
        <v>413</v>
      </c>
      <c r="G7" s="65" t="s">
        <v>414</v>
      </c>
    </row>
    <row r="8" spans="2:7" ht="15.6" customHeight="1" x14ac:dyDescent="0.3">
      <c r="B8" s="66">
        <v>1</v>
      </c>
      <c r="C8" s="67" t="s">
        <v>415</v>
      </c>
      <c r="D8" s="68">
        <v>20127119</v>
      </c>
      <c r="E8" s="71" t="s">
        <v>416</v>
      </c>
      <c r="F8" s="68" t="s">
        <v>417</v>
      </c>
      <c r="G8" s="68" t="s">
        <v>418</v>
      </c>
    </row>
    <row r="9" spans="2:7" ht="15.75" customHeight="1" x14ac:dyDescent="0.3">
      <c r="B9" s="66">
        <v>2</v>
      </c>
      <c r="C9" s="67" t="s">
        <v>419</v>
      </c>
      <c r="D9" s="72"/>
      <c r="E9" s="87"/>
      <c r="F9" s="68" t="s">
        <v>420</v>
      </c>
      <c r="G9" s="68" t="s">
        <v>421</v>
      </c>
    </row>
    <row r="10" spans="2:7" ht="15.6" customHeight="1" x14ac:dyDescent="0.3">
      <c r="B10" s="66">
        <v>3</v>
      </c>
      <c r="C10" s="67" t="s">
        <v>422</v>
      </c>
      <c r="D10" s="86">
        <v>22127214</v>
      </c>
      <c r="E10" s="89">
        <v>848803234</v>
      </c>
      <c r="F10" s="68" t="s">
        <v>423</v>
      </c>
      <c r="G10" s="68" t="s">
        <v>421</v>
      </c>
    </row>
    <row r="11" spans="2:7" ht="15.6" customHeight="1" x14ac:dyDescent="0.3">
      <c r="B11" s="66">
        <v>4</v>
      </c>
      <c r="C11" s="70" t="s">
        <v>424</v>
      </c>
      <c r="D11" s="88">
        <v>22127186</v>
      </c>
      <c r="E11" s="90">
        <v>862933281</v>
      </c>
      <c r="F11" s="69" t="s">
        <v>425</v>
      </c>
      <c r="G11" s="68" t="s">
        <v>421</v>
      </c>
    </row>
    <row r="12" spans="2:7" ht="15.75" customHeight="1" x14ac:dyDescent="0.3">
      <c r="B12" s="66">
        <v>5</v>
      </c>
      <c r="C12" s="70" t="s">
        <v>426</v>
      </c>
      <c r="D12" s="68">
        <v>22127168</v>
      </c>
      <c r="E12" s="71" t="s">
        <v>427</v>
      </c>
      <c r="F12" s="69" t="s">
        <v>428</v>
      </c>
      <c r="G12" s="68" t="s">
        <v>421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topLeftCell="D98" zoomScale="70" zoomScaleNormal="70" workbookViewId="0">
      <selection activeCell="F110" sqref="F110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4" width="40.88671875" customWidth="1"/>
    <col min="5" max="5" width="26" bestFit="1" customWidth="1"/>
    <col min="6" max="6" width="65.55468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5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41" t="s">
        <v>0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9"/>
      <c r="O2" s="19"/>
      <c r="P2" s="19"/>
      <c r="Q2" s="19"/>
      <c r="R2" s="155"/>
      <c r="S2" s="142"/>
      <c r="T2" s="142"/>
      <c r="U2" s="142"/>
      <c r="V2" s="142"/>
      <c r="W2" s="142"/>
      <c r="X2" s="142"/>
      <c r="Y2" s="142"/>
      <c r="Z2" s="146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42"/>
      <c r="AS2" s="142"/>
      <c r="AT2" s="142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52" t="s">
        <v>1</v>
      </c>
      <c r="C4" s="150"/>
      <c r="D4" s="25"/>
      <c r="E4" s="25"/>
      <c r="F4" s="25"/>
      <c r="G4" s="25"/>
      <c r="H4" s="153" t="s">
        <v>2</v>
      </c>
      <c r="I4" s="150"/>
      <c r="J4" s="150"/>
      <c r="K4" s="150"/>
      <c r="L4" s="150"/>
      <c r="M4" s="150"/>
      <c r="N4" s="26"/>
      <c r="O4" s="26"/>
      <c r="P4" s="26"/>
      <c r="Q4" s="26"/>
      <c r="R4" s="152" t="s">
        <v>3</v>
      </c>
      <c r="S4" s="150"/>
      <c r="T4" s="150"/>
      <c r="U4" s="150"/>
      <c r="V4" s="150"/>
      <c r="W4" s="150"/>
      <c r="X4" s="150"/>
      <c r="Y4" s="150"/>
      <c r="Z4" s="150"/>
      <c r="AA4" s="27"/>
      <c r="AB4" s="151" t="s">
        <v>4</v>
      </c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0"/>
      <c r="AP4" s="150"/>
      <c r="AQ4" s="150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52" t="s">
        <v>5</v>
      </c>
      <c r="C5" s="150"/>
      <c r="D5" s="29"/>
      <c r="E5" s="29"/>
      <c r="F5" s="29"/>
      <c r="G5" s="29"/>
      <c r="H5" s="149" t="s">
        <v>6</v>
      </c>
      <c r="I5" s="150"/>
      <c r="J5" s="150"/>
      <c r="K5" s="150"/>
      <c r="L5" s="150"/>
      <c r="M5" s="150"/>
      <c r="N5" s="30"/>
      <c r="O5" s="30"/>
      <c r="P5" s="30"/>
      <c r="Q5" s="30"/>
      <c r="R5" s="152" t="s">
        <v>7</v>
      </c>
      <c r="S5" s="150"/>
      <c r="T5" s="150"/>
      <c r="U5" s="150"/>
      <c r="V5" s="150"/>
      <c r="W5" s="150"/>
      <c r="X5" s="150"/>
      <c r="Y5" s="150"/>
      <c r="Z5" s="150"/>
      <c r="AA5" s="31"/>
      <c r="AB5" s="154">
        <v>46211</v>
      </c>
      <c r="AC5" s="150"/>
      <c r="AD5" s="150"/>
      <c r="AE5" s="150"/>
      <c r="AF5" s="150"/>
      <c r="AG5" s="150"/>
      <c r="AH5" s="150"/>
      <c r="AI5" s="150"/>
      <c r="AJ5" s="150"/>
      <c r="AK5" s="150"/>
      <c r="AL5" s="150"/>
      <c r="AM5" s="150"/>
      <c r="AN5" s="150"/>
      <c r="AO5" s="150"/>
      <c r="AP5" s="150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38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7">
        <f>SUMIF($H:$H,C8,$P:$P)</f>
        <v>1300</v>
      </c>
      <c r="E8" s="7">
        <f>SUMIF($H:$H,C8,$Q:$Q)</f>
        <v>358</v>
      </c>
      <c r="F8" s="7">
        <f>E8/D8</f>
        <v>0.27538461538461539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7">
        <f>SUMIF($H:$H,C9,$P:$P)</f>
        <v>1055</v>
      </c>
      <c r="E9" s="7">
        <f>SUMIF($H:$H,C9,$Q:$Q)</f>
        <v>0</v>
      </c>
      <c r="F9" s="7">
        <f>E9/D9</f>
        <v>0</v>
      </c>
      <c r="G9" s="9">
        <f>RANK(E9,$E$8:$E$12,0)</f>
        <v>4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7">
        <f>SUMIF($H:$H,C10,$P:$P)</f>
        <v>1782</v>
      </c>
      <c r="E10" s="7">
        <f>SUMIF($H:$H,C10,$Q:$Q)</f>
        <v>0</v>
      </c>
      <c r="F10" s="7">
        <f>E10/D10</f>
        <v>0</v>
      </c>
      <c r="G10" s="9">
        <f>RANK(E10,$E$8:$E$12,0)</f>
        <v>4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7">
        <f>SUMIF($H:$H,C11,$P:$P)</f>
        <v>1430</v>
      </c>
      <c r="E11" s="7">
        <f>SUMIF($H:$H,C11,$Q:$Q)</f>
        <v>144</v>
      </c>
      <c r="F11" s="7">
        <f>E11/D11</f>
        <v>0.10069930069930071</v>
      </c>
      <c r="G11" s="9">
        <f>RANK(E11,$E$8:$E$12,0)</f>
        <v>3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80">
        <f>SUMIF($H:$H,C12,$P:$P)</f>
        <v>1141</v>
      </c>
      <c r="E12" s="80">
        <f>SUMIF($H:$H,C12,$Q:$Q)</f>
        <v>200</v>
      </c>
      <c r="F12" s="80">
        <f>E12/D12</f>
        <v>0.17528483786152499</v>
      </c>
      <c r="G12" s="80">
        <f>RANK(E12,$E$8:$E$12,0)</f>
        <v>2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39" t="s">
        <v>19</v>
      </c>
      <c r="C14" s="139" t="s">
        <v>20</v>
      </c>
      <c r="D14" s="139" t="s">
        <v>21</v>
      </c>
      <c r="E14" s="140"/>
      <c r="F14" s="139" t="s">
        <v>22</v>
      </c>
      <c r="G14" s="139" t="s">
        <v>23</v>
      </c>
      <c r="H14" s="139" t="s">
        <v>24</v>
      </c>
      <c r="I14" s="139" t="s">
        <v>25</v>
      </c>
      <c r="J14" s="139" t="s">
        <v>26</v>
      </c>
      <c r="K14" s="139" t="s">
        <v>27</v>
      </c>
      <c r="L14" s="139" t="s">
        <v>28</v>
      </c>
      <c r="M14" s="139" t="s">
        <v>29</v>
      </c>
      <c r="N14" s="139" t="s">
        <v>30</v>
      </c>
      <c r="O14" s="139" t="s">
        <v>31</v>
      </c>
      <c r="P14" s="139" t="s">
        <v>32</v>
      </c>
      <c r="Q14" s="139" t="s">
        <v>33</v>
      </c>
      <c r="R14" s="143" t="s">
        <v>34</v>
      </c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0"/>
      <c r="AM14" s="147" t="s">
        <v>35</v>
      </c>
      <c r="AN14" s="140"/>
      <c r="AO14" s="140"/>
      <c r="AP14" s="140"/>
      <c r="AQ14" s="140"/>
      <c r="AR14" s="140"/>
      <c r="AS14" s="140"/>
      <c r="AT14" s="140"/>
      <c r="AU14" s="140"/>
      <c r="AV14" s="140"/>
      <c r="AW14" s="140"/>
      <c r="AX14" s="140"/>
      <c r="AY14" s="140"/>
      <c r="AZ14" s="140"/>
      <c r="BA14" s="140"/>
      <c r="BB14" s="140"/>
      <c r="BC14" s="140"/>
      <c r="BD14" s="140"/>
      <c r="BE14" s="140"/>
      <c r="BF14" s="140"/>
      <c r="BG14" s="140"/>
      <c r="BH14" s="156" t="s">
        <v>36</v>
      </c>
      <c r="BI14" s="140"/>
      <c r="BJ14" s="140"/>
      <c r="BK14" s="140"/>
      <c r="BL14" s="140"/>
      <c r="BM14" s="140"/>
      <c r="BN14" s="140"/>
      <c r="BO14" s="140"/>
      <c r="BP14" s="140"/>
      <c r="BQ14" s="140"/>
      <c r="BR14" s="140"/>
      <c r="BS14" s="140"/>
      <c r="BT14" s="140"/>
      <c r="BU14" s="140"/>
      <c r="BV14" s="140"/>
      <c r="BW14" s="140"/>
      <c r="BX14" s="140"/>
      <c r="BY14" s="140"/>
      <c r="BZ14" s="140"/>
      <c r="CA14" s="140"/>
      <c r="CB14" s="140"/>
      <c r="CC14" s="148" t="s">
        <v>37</v>
      </c>
      <c r="CD14" s="140"/>
      <c r="CE14" s="140"/>
      <c r="CF14" s="140"/>
      <c r="CG14" s="140"/>
      <c r="CH14" s="140"/>
      <c r="CI14" s="140"/>
      <c r="CJ14" s="140"/>
      <c r="CK14" s="140"/>
      <c r="CL14" s="140"/>
      <c r="CM14" s="140"/>
      <c r="CN14" s="140"/>
      <c r="CO14" s="140"/>
      <c r="CP14" s="140"/>
      <c r="CQ14" s="140"/>
      <c r="CR14" s="140"/>
      <c r="CS14" s="140"/>
      <c r="CT14" s="140"/>
      <c r="CU14" s="140"/>
      <c r="CV14" s="140"/>
      <c r="CW14" s="140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17.25" customHeight="1" x14ac:dyDescent="0.25">
      <c r="A15" s="42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4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  <c r="AD15" s="140"/>
      <c r="AE15" s="140"/>
      <c r="AF15" s="140"/>
      <c r="AG15" s="140"/>
      <c r="AH15" s="140"/>
      <c r="AI15" s="140"/>
      <c r="AJ15" s="140"/>
      <c r="AK15" s="140"/>
      <c r="AL15" s="140"/>
      <c r="AM15" s="144"/>
      <c r="AN15" s="140"/>
      <c r="AO15" s="140"/>
      <c r="AP15" s="140"/>
      <c r="AQ15" s="140"/>
      <c r="AR15" s="140"/>
      <c r="AS15" s="140"/>
      <c r="AT15" s="140"/>
      <c r="AU15" s="140"/>
      <c r="AV15" s="140"/>
      <c r="AW15" s="140"/>
      <c r="AX15" s="140"/>
      <c r="AY15" s="140"/>
      <c r="AZ15" s="140"/>
      <c r="BA15" s="140"/>
      <c r="BB15" s="140"/>
      <c r="BC15" s="140"/>
      <c r="BD15" s="140"/>
      <c r="BE15" s="140"/>
      <c r="BF15" s="140"/>
      <c r="BG15" s="140"/>
      <c r="BH15" s="144"/>
      <c r="BI15" s="140"/>
      <c r="BJ15" s="140"/>
      <c r="BK15" s="140"/>
      <c r="BL15" s="140"/>
      <c r="BM15" s="140"/>
      <c r="BN15" s="140"/>
      <c r="BO15" s="140"/>
      <c r="BP15" s="140"/>
      <c r="BQ15" s="140"/>
      <c r="BR15" s="140"/>
      <c r="BS15" s="140"/>
      <c r="BT15" s="140"/>
      <c r="BU15" s="140"/>
      <c r="BV15" s="140"/>
      <c r="BW15" s="140"/>
      <c r="BX15" s="140"/>
      <c r="BY15" s="140"/>
      <c r="BZ15" s="140"/>
      <c r="CA15" s="140"/>
      <c r="CB15" s="140"/>
      <c r="CC15" s="144"/>
      <c r="CD15" s="140"/>
      <c r="CE15" s="140"/>
      <c r="CF15" s="140"/>
      <c r="CG15" s="140"/>
      <c r="CH15" s="140"/>
      <c r="CI15" s="140"/>
      <c r="CJ15" s="140"/>
      <c r="CK15" s="140"/>
      <c r="CL15" s="140"/>
      <c r="CM15" s="140"/>
      <c r="CN15" s="140"/>
      <c r="CO15" s="140"/>
      <c r="CP15" s="140"/>
      <c r="CQ15" s="140"/>
      <c r="CR15" s="140"/>
      <c r="CS15" s="140"/>
      <c r="CT15" s="140"/>
      <c r="CU15" s="140"/>
      <c r="CV15" s="140"/>
      <c r="CW15" s="140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DI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40"/>
      <c r="C17" s="140"/>
      <c r="D17" s="41"/>
      <c r="F17" s="41"/>
      <c r="G17" s="41"/>
      <c r="H17" s="140"/>
      <c r="I17" s="41"/>
      <c r="J17" s="41"/>
      <c r="K17" s="140"/>
      <c r="L17" s="140"/>
      <c r="M17" s="140"/>
      <c r="N17" s="41"/>
      <c r="O17" s="140"/>
      <c r="P17" s="41"/>
      <c r="Q17" s="140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45" t="s">
        <v>38</v>
      </c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  <c r="AK18" s="140"/>
      <c r="AL18" s="140"/>
      <c r="AM18" s="140"/>
      <c r="AN18" s="140"/>
      <c r="AO18" s="140"/>
      <c r="AP18" s="140"/>
      <c r="AQ18" s="140"/>
      <c r="AR18" s="140"/>
      <c r="AS18" s="140"/>
      <c r="AT18" s="140"/>
      <c r="AU18" s="140"/>
      <c r="AV18" s="140"/>
      <c r="AW18" s="140"/>
      <c r="AX18" s="140"/>
      <c r="AY18" s="140"/>
      <c r="AZ18" s="140"/>
      <c r="BA18" s="140"/>
      <c r="BB18" s="140"/>
      <c r="BC18" s="140"/>
      <c r="BD18" s="140"/>
      <c r="BE18" s="140"/>
      <c r="BF18" s="140"/>
      <c r="BG18" s="140"/>
      <c r="BH18" s="140"/>
      <c r="BI18" s="140"/>
      <c r="BJ18" s="140"/>
      <c r="BK18" s="140"/>
      <c r="BL18" s="140"/>
      <c r="BM18" s="140"/>
      <c r="BN18" s="140"/>
      <c r="BO18" s="140"/>
      <c r="BP18" s="140"/>
      <c r="BQ18" s="140"/>
      <c r="BR18" s="140"/>
      <c r="BS18" s="140"/>
      <c r="BT18" s="140"/>
      <c r="BU18" s="140"/>
      <c r="BV18" s="140"/>
      <c r="BW18" s="140"/>
      <c r="BX18" s="140"/>
      <c r="BY18" s="140"/>
      <c r="BZ18" s="140"/>
      <c r="CA18" s="140"/>
      <c r="CB18" s="140"/>
      <c r="CC18" s="140"/>
      <c r="CD18" s="140"/>
      <c r="CE18" s="140"/>
      <c r="CF18" s="140"/>
      <c r="CG18" s="140"/>
      <c r="CH18" s="140"/>
      <c r="CI18" s="140"/>
      <c r="CJ18" s="140"/>
      <c r="CK18" s="140"/>
      <c r="CL18" s="140"/>
      <c r="CM18" s="140"/>
      <c r="CN18" s="140"/>
      <c r="CO18" s="140"/>
      <c r="CP18" s="140"/>
      <c r="CQ18" s="140"/>
      <c r="CR18" s="140"/>
      <c r="CS18" s="140"/>
      <c r="CT18" s="140"/>
      <c r="CU18" s="140"/>
      <c r="CV18" s="140"/>
      <c r="CW18" s="140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  <c r="AK19" s="140"/>
      <c r="AL19" s="140"/>
      <c r="AM19" s="140"/>
      <c r="AN19" s="140"/>
      <c r="AO19" s="140"/>
      <c r="AP19" s="140"/>
      <c r="AQ19" s="140"/>
      <c r="AR19" s="140"/>
      <c r="AS19" s="140"/>
      <c r="AT19" s="140"/>
      <c r="AU19" s="140"/>
      <c r="AV19" s="140"/>
      <c r="AW19" s="140"/>
      <c r="AX19" s="140"/>
      <c r="AY19" s="140"/>
      <c r="AZ19" s="140"/>
      <c r="BA19" s="140"/>
      <c r="BB19" s="140"/>
      <c r="BC19" s="140"/>
      <c r="BD19" s="140"/>
      <c r="BE19" s="140"/>
      <c r="BF19" s="140"/>
      <c r="BG19" s="140"/>
      <c r="BH19" s="140"/>
      <c r="BI19" s="140"/>
      <c r="BJ19" s="140"/>
      <c r="BK19" s="140"/>
      <c r="BL19" s="140"/>
      <c r="BM19" s="140"/>
      <c r="BN19" s="140"/>
      <c r="BO19" s="140"/>
      <c r="BP19" s="140"/>
      <c r="BQ19" s="140"/>
      <c r="BR19" s="140"/>
      <c r="BS19" s="140"/>
      <c r="BT19" s="140"/>
      <c r="BU19" s="140"/>
      <c r="BV19" s="140"/>
      <c r="BW19" s="140"/>
      <c r="BX19" s="140"/>
      <c r="BY19" s="140"/>
      <c r="BZ19" s="140"/>
      <c r="CA19" s="140"/>
      <c r="CB19" s="140"/>
      <c r="CC19" s="140"/>
      <c r="CD19" s="140"/>
      <c r="CE19" s="140"/>
      <c r="CF19" s="140"/>
      <c r="CG19" s="140"/>
      <c r="CH19" s="140"/>
      <c r="CI19" s="140"/>
      <c r="CJ19" s="140"/>
      <c r="CK19" s="140"/>
      <c r="CL19" s="140"/>
      <c r="CM19" s="140"/>
      <c r="CN19" s="140"/>
      <c r="CO19" s="140"/>
      <c r="CP19" s="140"/>
      <c r="CQ19" s="140"/>
      <c r="CR19" s="140"/>
      <c r="CS19" s="140"/>
      <c r="CT19" s="140"/>
      <c r="CU19" s="140"/>
      <c r="CV19" s="140"/>
      <c r="CW19" s="140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140"/>
      <c r="AX20" s="140"/>
      <c r="AY20" s="140"/>
      <c r="AZ20" s="140"/>
      <c r="BA20" s="140"/>
      <c r="BB20" s="140"/>
      <c r="BC20" s="140"/>
      <c r="BD20" s="140"/>
      <c r="BE20" s="140"/>
      <c r="BF20" s="140"/>
      <c r="BG20" s="140"/>
      <c r="BH20" s="140"/>
      <c r="BI20" s="140"/>
      <c r="BJ20" s="140"/>
      <c r="BK20" s="140"/>
      <c r="BL20" s="140"/>
      <c r="BM20" s="140"/>
      <c r="BN20" s="140"/>
      <c r="BO20" s="140"/>
      <c r="BP20" s="140"/>
      <c r="BQ20" s="140"/>
      <c r="BR20" s="140"/>
      <c r="BS20" s="140"/>
      <c r="BT20" s="140"/>
      <c r="BU20" s="140"/>
      <c r="BV20" s="140"/>
      <c r="BW20" s="140"/>
      <c r="BX20" s="140"/>
      <c r="BY20" s="140"/>
      <c r="BZ20" s="140"/>
      <c r="CA20" s="140"/>
      <c r="CB20" s="140"/>
      <c r="CC20" s="140"/>
      <c r="CD20" s="140"/>
      <c r="CE20" s="140"/>
      <c r="CF20" s="140"/>
      <c r="CG20" s="140"/>
      <c r="CH20" s="140"/>
      <c r="CI20" s="140"/>
      <c r="CJ20" s="140"/>
      <c r="CK20" s="140"/>
      <c r="CL20" s="140"/>
      <c r="CM20" s="140"/>
      <c r="CN20" s="140"/>
      <c r="CO20" s="140"/>
      <c r="CP20" s="140"/>
      <c r="CQ20" s="140"/>
      <c r="CR20" s="140"/>
      <c r="CS20" s="140"/>
      <c r="CT20" s="140"/>
      <c r="CU20" s="140"/>
      <c r="CV20" s="140"/>
      <c r="CW20" s="140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91" t="s">
        <v>39</v>
      </c>
      <c r="C21" s="91" t="s">
        <v>40</v>
      </c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17.25" customHeight="1" outlineLevel="1" x14ac:dyDescent="0.25">
      <c r="A23" s="52"/>
      <c r="B23" s="92" t="s">
        <v>41</v>
      </c>
      <c r="C23" s="93" t="s">
        <v>42</v>
      </c>
      <c r="D23" s="93" t="s">
        <v>43</v>
      </c>
      <c r="E23" s="93"/>
      <c r="F23" s="93" t="s">
        <v>44</v>
      </c>
      <c r="G23" s="93" t="s">
        <v>45</v>
      </c>
      <c r="H23" s="93" t="s">
        <v>14</v>
      </c>
      <c r="I23" s="93">
        <v>8</v>
      </c>
      <c r="J23" s="93">
        <v>2</v>
      </c>
      <c r="K23" s="94">
        <v>46224</v>
      </c>
      <c r="L23" s="94">
        <v>46224</v>
      </c>
      <c r="M23" s="93">
        <v>1</v>
      </c>
      <c r="N23" s="95" t="s">
        <v>46</v>
      </c>
      <c r="O23" s="95">
        <v>1</v>
      </c>
      <c r="P23" s="93">
        <f t="shared" ref="P23:P28" si="6">ROUND(I23*J23*M23,1)</f>
        <v>16</v>
      </c>
      <c r="Q23" s="93">
        <f t="shared" ref="Q23:Q28" si="7">ROUND(P23*O23,1)</f>
        <v>16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92.4" customHeight="1" outlineLevel="1" x14ac:dyDescent="0.25">
      <c r="A24" s="52"/>
      <c r="B24" s="92" t="s">
        <v>47</v>
      </c>
      <c r="C24" s="93" t="s">
        <v>48</v>
      </c>
      <c r="D24" s="93" t="s">
        <v>49</v>
      </c>
      <c r="E24" s="93"/>
      <c r="F24" s="93" t="s">
        <v>50</v>
      </c>
      <c r="G24" s="93" t="s">
        <v>51</v>
      </c>
      <c r="H24" s="93" t="s">
        <v>14</v>
      </c>
      <c r="I24" s="93">
        <v>6</v>
      </c>
      <c r="J24" s="93">
        <v>2</v>
      </c>
      <c r="K24" s="94">
        <v>46224</v>
      </c>
      <c r="L24" s="94">
        <v>46224</v>
      </c>
      <c r="M24" s="93">
        <v>1</v>
      </c>
      <c r="N24" s="95" t="s">
        <v>52</v>
      </c>
      <c r="O24" s="95">
        <v>1</v>
      </c>
      <c r="P24" s="93">
        <f t="shared" si="6"/>
        <v>12</v>
      </c>
      <c r="Q24" s="93">
        <f t="shared" si="7"/>
        <v>12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92.4" customHeight="1" outlineLevel="1" x14ac:dyDescent="0.25">
      <c r="A25" s="52"/>
      <c r="B25" s="92" t="s">
        <v>53</v>
      </c>
      <c r="C25" s="93" t="s">
        <v>54</v>
      </c>
      <c r="D25" s="93" t="s">
        <v>55</v>
      </c>
      <c r="E25" s="93"/>
      <c r="F25" s="93" t="s">
        <v>56</v>
      </c>
      <c r="G25" s="93" t="s">
        <v>57</v>
      </c>
      <c r="H25" s="93" t="s">
        <v>14</v>
      </c>
      <c r="I25" s="93">
        <v>7</v>
      </c>
      <c r="J25" s="93">
        <v>4</v>
      </c>
      <c r="K25" s="94">
        <v>46224</v>
      </c>
      <c r="L25" s="94">
        <v>46224</v>
      </c>
      <c r="M25" s="93">
        <v>1</v>
      </c>
      <c r="N25" s="95" t="s">
        <v>58</v>
      </c>
      <c r="O25" s="95">
        <v>1</v>
      </c>
      <c r="P25" s="93">
        <f t="shared" si="6"/>
        <v>28</v>
      </c>
      <c r="Q25" s="93">
        <f t="shared" si="7"/>
        <v>28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79.2" customHeight="1" outlineLevel="1" x14ac:dyDescent="0.25">
      <c r="A26" s="52"/>
      <c r="B26" s="92" t="s">
        <v>59</v>
      </c>
      <c r="C26" s="93" t="s">
        <v>60</v>
      </c>
      <c r="D26" s="93" t="s">
        <v>61</v>
      </c>
      <c r="E26" s="93"/>
      <c r="F26" s="93" t="s">
        <v>62</v>
      </c>
      <c r="G26" s="93" t="s">
        <v>63</v>
      </c>
      <c r="H26" s="93" t="s">
        <v>14</v>
      </c>
      <c r="I26" s="93">
        <v>9</v>
      </c>
      <c r="J26" s="93">
        <v>6</v>
      </c>
      <c r="K26" s="94">
        <v>46224</v>
      </c>
      <c r="L26" s="94">
        <v>46224</v>
      </c>
      <c r="M26" s="93">
        <v>1</v>
      </c>
      <c r="N26" s="95" t="s">
        <v>64</v>
      </c>
      <c r="O26" s="95">
        <v>1</v>
      </c>
      <c r="P26" s="93">
        <f t="shared" si="6"/>
        <v>54</v>
      </c>
      <c r="Q26" s="93">
        <f t="shared" si="7"/>
        <v>54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17.25" customHeight="1" outlineLevel="1" x14ac:dyDescent="0.25">
      <c r="A27" s="52"/>
      <c r="B27" s="92" t="s">
        <v>65</v>
      </c>
      <c r="C27" s="93" t="s">
        <v>66</v>
      </c>
      <c r="D27" s="93" t="s">
        <v>67</v>
      </c>
      <c r="E27" s="93"/>
      <c r="F27" s="93" t="s">
        <v>68</v>
      </c>
      <c r="G27" s="93" t="s">
        <v>69</v>
      </c>
      <c r="H27" s="93" t="s">
        <v>14</v>
      </c>
      <c r="I27" s="93">
        <v>8</v>
      </c>
      <c r="J27" s="93">
        <v>4</v>
      </c>
      <c r="K27" s="94">
        <v>46224</v>
      </c>
      <c r="L27" s="94">
        <v>46224</v>
      </c>
      <c r="M27" s="93">
        <v>1</v>
      </c>
      <c r="N27" s="95" t="s">
        <v>70</v>
      </c>
      <c r="O27" s="95">
        <v>1</v>
      </c>
      <c r="P27" s="93">
        <f t="shared" si="6"/>
        <v>32</v>
      </c>
      <c r="Q27" s="93">
        <f t="shared" si="7"/>
        <v>32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17.25" customHeight="1" outlineLevel="1" x14ac:dyDescent="0.25">
      <c r="A28" s="52"/>
      <c r="B28" s="92" t="s">
        <v>71</v>
      </c>
      <c r="C28" s="93" t="s">
        <v>72</v>
      </c>
      <c r="D28" s="93" t="s">
        <v>73</v>
      </c>
      <c r="E28" s="93"/>
      <c r="F28" s="93" t="s">
        <v>74</v>
      </c>
      <c r="G28" s="93" t="s">
        <v>75</v>
      </c>
      <c r="H28" s="93" t="s">
        <v>14</v>
      </c>
      <c r="I28" s="93">
        <v>9</v>
      </c>
      <c r="J28" s="93">
        <v>8</v>
      </c>
      <c r="K28" s="94">
        <v>46224</v>
      </c>
      <c r="L28" s="94">
        <v>46224</v>
      </c>
      <c r="M28" s="93">
        <v>3</v>
      </c>
      <c r="N28" s="95" t="s">
        <v>76</v>
      </c>
      <c r="O28" s="95">
        <v>1</v>
      </c>
      <c r="P28" s="93">
        <f t="shared" si="6"/>
        <v>216</v>
      </c>
      <c r="Q28" s="93">
        <f t="shared" si="7"/>
        <v>216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17.25" customHeight="1" outlineLevel="1" x14ac:dyDescent="0.25">
      <c r="A29" s="52"/>
      <c r="B29" s="96" t="s">
        <v>77</v>
      </c>
      <c r="C29" s="97" t="s">
        <v>78</v>
      </c>
      <c r="D29" s="97"/>
      <c r="E29" s="97"/>
      <c r="F29" s="97"/>
      <c r="G29" s="97"/>
      <c r="H29" s="97"/>
      <c r="I29" s="97"/>
      <c r="J29" s="97"/>
      <c r="K29" s="98"/>
      <c r="L29" s="98"/>
      <c r="M29" s="97"/>
      <c r="N29" s="99"/>
      <c r="O29" s="99"/>
      <c r="P29" s="97"/>
      <c r="Q29" s="97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17.25" customHeight="1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17.25" customHeight="1" outlineLevel="1" x14ac:dyDescent="0.25">
      <c r="A31" s="52"/>
      <c r="B31" s="92" t="s">
        <v>79</v>
      </c>
      <c r="C31" s="93" t="s">
        <v>80</v>
      </c>
      <c r="D31" s="93" t="s">
        <v>81</v>
      </c>
      <c r="E31" s="93"/>
      <c r="F31" s="93" t="s">
        <v>82</v>
      </c>
      <c r="G31" s="93" t="s">
        <v>83</v>
      </c>
      <c r="H31" s="93" t="s">
        <v>17</v>
      </c>
      <c r="I31" s="93">
        <v>9</v>
      </c>
      <c r="J31" s="93">
        <v>5</v>
      </c>
      <c r="K31" s="94">
        <v>46225</v>
      </c>
      <c r="L31" s="94">
        <v>46228</v>
      </c>
      <c r="M31" s="93">
        <v>1</v>
      </c>
      <c r="N31" s="95" t="s">
        <v>84</v>
      </c>
      <c r="O31" s="95">
        <v>1</v>
      </c>
      <c r="P31" s="93">
        <f t="shared" ref="P31:P45" si="8">ROUND(I31*J31*M31,1)</f>
        <v>45</v>
      </c>
      <c r="Q31" s="93">
        <f t="shared" ref="Q31:Q45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17.25" customHeight="1" outlineLevel="1" x14ac:dyDescent="0.25">
      <c r="A32" s="52"/>
      <c r="B32" s="92" t="s">
        <v>85</v>
      </c>
      <c r="C32" s="93" t="s">
        <v>86</v>
      </c>
      <c r="D32" s="93" t="s">
        <v>87</v>
      </c>
      <c r="E32" s="93"/>
      <c r="F32" s="93" t="s">
        <v>88</v>
      </c>
      <c r="G32" s="93" t="s">
        <v>83</v>
      </c>
      <c r="H32" s="93" t="s">
        <v>17</v>
      </c>
      <c r="I32" s="93">
        <v>8</v>
      </c>
      <c r="J32" s="93">
        <v>4</v>
      </c>
      <c r="K32" s="94">
        <v>46225</v>
      </c>
      <c r="L32" s="94">
        <v>46228</v>
      </c>
      <c r="M32" s="93">
        <v>1</v>
      </c>
      <c r="N32" s="95" t="s">
        <v>84</v>
      </c>
      <c r="O32" s="95">
        <v>1</v>
      </c>
      <c r="P32" s="93">
        <f t="shared" si="8"/>
        <v>32</v>
      </c>
      <c r="Q32" s="93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52.8" customHeight="1" x14ac:dyDescent="0.25">
      <c r="A33" s="34"/>
      <c r="B33" s="93" t="s">
        <v>89</v>
      </c>
      <c r="C33" s="93" t="s">
        <v>90</v>
      </c>
      <c r="D33" s="93" t="s">
        <v>91</v>
      </c>
      <c r="E33" s="93"/>
      <c r="F33" s="93" t="s">
        <v>92</v>
      </c>
      <c r="G33" s="93" t="s">
        <v>93</v>
      </c>
      <c r="H33" s="93" t="s">
        <v>17</v>
      </c>
      <c r="I33" s="93">
        <v>8</v>
      </c>
      <c r="J33" s="93">
        <v>5</v>
      </c>
      <c r="K33" s="94">
        <v>46225</v>
      </c>
      <c r="L33" s="94">
        <v>46228</v>
      </c>
      <c r="M33" s="93">
        <v>1</v>
      </c>
      <c r="N33" s="93" t="s">
        <v>94</v>
      </c>
      <c r="O33" s="93">
        <v>1</v>
      </c>
      <c r="P33" s="93">
        <f t="shared" si="8"/>
        <v>40</v>
      </c>
      <c r="Q33" s="93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66" customHeight="1" x14ac:dyDescent="0.25">
      <c r="A34" s="34"/>
      <c r="B34" s="100" t="s">
        <v>95</v>
      </c>
      <c r="C34" s="100" t="s">
        <v>96</v>
      </c>
      <c r="D34" s="100" t="s">
        <v>97</v>
      </c>
      <c r="E34" s="100"/>
      <c r="F34" s="100" t="s">
        <v>98</v>
      </c>
      <c r="G34" s="100" t="s">
        <v>99</v>
      </c>
      <c r="H34" s="100" t="s">
        <v>18</v>
      </c>
      <c r="I34" s="100">
        <v>9</v>
      </c>
      <c r="J34" s="100">
        <v>4</v>
      </c>
      <c r="K34" s="101">
        <v>46225</v>
      </c>
      <c r="L34" s="101">
        <v>46228</v>
      </c>
      <c r="M34" s="100">
        <v>2</v>
      </c>
      <c r="N34" s="137" t="s">
        <v>100</v>
      </c>
      <c r="O34" s="102">
        <v>1</v>
      </c>
      <c r="P34" s="100">
        <f t="shared" si="8"/>
        <v>72</v>
      </c>
      <c r="Q34" s="100">
        <f t="shared" si="9"/>
        <v>72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1" customHeight="1" x14ac:dyDescent="0.25">
      <c r="A35" s="34"/>
      <c r="B35" s="103" t="s">
        <v>101</v>
      </c>
      <c r="C35" s="103" t="s">
        <v>102</v>
      </c>
      <c r="D35" s="103" t="s">
        <v>103</v>
      </c>
      <c r="E35" s="103"/>
      <c r="F35" s="103" t="s">
        <v>104</v>
      </c>
      <c r="G35" s="103"/>
      <c r="H35" s="103" t="s">
        <v>17</v>
      </c>
      <c r="I35" s="103">
        <v>9</v>
      </c>
      <c r="J35" s="103">
        <v>3</v>
      </c>
      <c r="K35" s="104">
        <v>46225</v>
      </c>
      <c r="L35" s="104">
        <v>46228</v>
      </c>
      <c r="M35" s="103">
        <v>1</v>
      </c>
      <c r="N35" s="105" t="s">
        <v>105</v>
      </c>
      <c r="O35" s="105">
        <v>1</v>
      </c>
      <c r="P35" s="103">
        <f t="shared" si="8"/>
        <v>27</v>
      </c>
      <c r="Q35" s="103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1" customHeight="1" x14ac:dyDescent="0.25">
      <c r="A36" s="34"/>
      <c r="B36" s="103" t="s">
        <v>106</v>
      </c>
      <c r="C36" s="103" t="s">
        <v>107</v>
      </c>
      <c r="D36" s="103" t="s">
        <v>108</v>
      </c>
      <c r="E36" s="103"/>
      <c r="F36" s="103" t="s">
        <v>109</v>
      </c>
      <c r="G36" s="103"/>
      <c r="H36" s="103" t="s">
        <v>16</v>
      </c>
      <c r="I36" s="103">
        <v>9</v>
      </c>
      <c r="J36" s="103">
        <v>6</v>
      </c>
      <c r="K36" s="104">
        <v>46225</v>
      </c>
      <c r="L36" s="104">
        <v>46228</v>
      </c>
      <c r="M36" s="103">
        <v>2</v>
      </c>
      <c r="N36" s="105"/>
      <c r="O36" s="105">
        <v>0</v>
      </c>
      <c r="P36" s="103">
        <f t="shared" si="8"/>
        <v>108</v>
      </c>
      <c r="Q36" s="103">
        <f t="shared" si="9"/>
        <v>0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1" customHeight="1" x14ac:dyDescent="0.25">
      <c r="A37" s="34"/>
      <c r="B37" s="103" t="s">
        <v>110</v>
      </c>
      <c r="C37" s="103" t="s">
        <v>111</v>
      </c>
      <c r="D37" s="103" t="s">
        <v>112</v>
      </c>
      <c r="E37" s="103"/>
      <c r="F37" s="103" t="s">
        <v>113</v>
      </c>
      <c r="G37" s="103"/>
      <c r="H37" s="103" t="s">
        <v>16</v>
      </c>
      <c r="I37" s="103">
        <v>9</v>
      </c>
      <c r="J37" s="103">
        <v>6</v>
      </c>
      <c r="K37" s="104">
        <v>46225</v>
      </c>
      <c r="L37" s="104">
        <v>46228</v>
      </c>
      <c r="M37" s="103">
        <v>2</v>
      </c>
      <c r="N37" s="105"/>
      <c r="O37" s="105">
        <v>0</v>
      </c>
      <c r="P37" s="103">
        <f t="shared" si="8"/>
        <v>108</v>
      </c>
      <c r="Q37" s="103">
        <f t="shared" si="9"/>
        <v>0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21" customHeight="1" x14ac:dyDescent="0.25">
      <c r="A38" s="34"/>
      <c r="B38" s="103" t="s">
        <v>114</v>
      </c>
      <c r="C38" s="103" t="s">
        <v>115</v>
      </c>
      <c r="D38" s="103" t="s">
        <v>116</v>
      </c>
      <c r="E38" s="103"/>
      <c r="F38" s="103" t="s">
        <v>117</v>
      </c>
      <c r="G38" s="103"/>
      <c r="H38" s="103" t="s">
        <v>14</v>
      </c>
      <c r="I38" s="103">
        <v>9</v>
      </c>
      <c r="J38" s="103">
        <v>5</v>
      </c>
      <c r="K38" s="104">
        <v>46225</v>
      </c>
      <c r="L38" s="104">
        <v>46228</v>
      </c>
      <c r="M38" s="103">
        <v>1</v>
      </c>
      <c r="N38" s="105"/>
      <c r="O38" s="105">
        <v>0</v>
      </c>
      <c r="P38" s="103">
        <f t="shared" si="8"/>
        <v>45</v>
      </c>
      <c r="Q38" s="103">
        <f t="shared" si="9"/>
        <v>0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21" customHeight="1" x14ac:dyDescent="0.25">
      <c r="A39" s="34"/>
      <c r="B39" s="103" t="s">
        <v>118</v>
      </c>
      <c r="C39" s="103" t="s">
        <v>119</v>
      </c>
      <c r="D39" s="103" t="s">
        <v>120</v>
      </c>
      <c r="E39" s="103"/>
      <c r="F39" s="103" t="s">
        <v>121</v>
      </c>
      <c r="G39" s="103"/>
      <c r="H39" s="103" t="s">
        <v>14</v>
      </c>
      <c r="I39" s="103">
        <v>7</v>
      </c>
      <c r="J39" s="103">
        <v>3</v>
      </c>
      <c r="K39" s="104">
        <v>46225</v>
      </c>
      <c r="L39" s="104">
        <v>46228</v>
      </c>
      <c r="M39" s="103">
        <v>1</v>
      </c>
      <c r="N39" s="105"/>
      <c r="O39" s="105">
        <v>0</v>
      </c>
      <c r="P39" s="103">
        <f t="shared" si="8"/>
        <v>21</v>
      </c>
      <c r="Q39" s="103">
        <f t="shared" si="9"/>
        <v>0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21" customHeight="1" x14ac:dyDescent="0.25">
      <c r="A40" s="34"/>
      <c r="B40" s="103" t="s">
        <v>122</v>
      </c>
      <c r="C40" s="103" t="s">
        <v>123</v>
      </c>
      <c r="D40" s="103" t="s">
        <v>124</v>
      </c>
      <c r="E40" s="103"/>
      <c r="F40" s="103" t="s">
        <v>125</v>
      </c>
      <c r="G40" s="103"/>
      <c r="H40" s="103" t="s">
        <v>18</v>
      </c>
      <c r="I40" s="103">
        <v>8</v>
      </c>
      <c r="J40" s="103">
        <v>5</v>
      </c>
      <c r="K40" s="104">
        <v>46225</v>
      </c>
      <c r="L40" s="104">
        <v>46228</v>
      </c>
      <c r="M40" s="103">
        <v>2</v>
      </c>
      <c r="N40" s="105" t="s">
        <v>126</v>
      </c>
      <c r="O40" s="105">
        <v>1</v>
      </c>
      <c r="P40" s="103">
        <f t="shared" si="8"/>
        <v>80</v>
      </c>
      <c r="Q40" s="103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21" customHeight="1" x14ac:dyDescent="0.25">
      <c r="A41" s="34"/>
      <c r="B41" s="103" t="s">
        <v>127</v>
      </c>
      <c r="C41" s="103" t="s">
        <v>128</v>
      </c>
      <c r="D41" s="103" t="s">
        <v>129</v>
      </c>
      <c r="E41" s="103"/>
      <c r="F41" s="103" t="s">
        <v>130</v>
      </c>
      <c r="G41" s="103"/>
      <c r="H41" s="103" t="s">
        <v>18</v>
      </c>
      <c r="I41" s="103">
        <v>8</v>
      </c>
      <c r="J41" s="103">
        <v>6</v>
      </c>
      <c r="K41" s="104">
        <v>46225</v>
      </c>
      <c r="L41" s="104">
        <v>46228</v>
      </c>
      <c r="M41" s="103">
        <v>1</v>
      </c>
      <c r="N41" s="105" t="s">
        <v>131</v>
      </c>
      <c r="O41" s="105">
        <v>1</v>
      </c>
      <c r="P41" s="103">
        <f t="shared" si="8"/>
        <v>48</v>
      </c>
      <c r="Q41" s="103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21" customHeight="1" x14ac:dyDescent="0.25">
      <c r="A42" s="34"/>
      <c r="B42" s="103" t="s">
        <v>132</v>
      </c>
      <c r="C42" s="103" t="s">
        <v>133</v>
      </c>
      <c r="D42" s="103" t="s">
        <v>134</v>
      </c>
      <c r="E42" s="103"/>
      <c r="F42" s="103" t="s">
        <v>135</v>
      </c>
      <c r="G42" s="103"/>
      <c r="H42" s="103" t="s">
        <v>17</v>
      </c>
      <c r="I42" s="103">
        <v>9</v>
      </c>
      <c r="J42" s="103">
        <v>7</v>
      </c>
      <c r="K42" s="104">
        <v>46225</v>
      </c>
      <c r="L42" s="104">
        <v>46228</v>
      </c>
      <c r="M42" s="103">
        <v>3</v>
      </c>
      <c r="N42" s="103"/>
      <c r="O42" s="103">
        <v>0</v>
      </c>
      <c r="P42" s="103">
        <f t="shared" si="8"/>
        <v>189</v>
      </c>
      <c r="Q42" s="103">
        <f t="shared" si="9"/>
        <v>0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21" customHeight="1" x14ac:dyDescent="0.25">
      <c r="A43" s="34"/>
      <c r="B43" s="103" t="s">
        <v>136</v>
      </c>
      <c r="C43" s="103" t="s">
        <v>137</v>
      </c>
      <c r="D43" s="103" t="s">
        <v>138</v>
      </c>
      <c r="E43" s="103"/>
      <c r="F43" s="103" t="s">
        <v>139</v>
      </c>
      <c r="G43" s="103"/>
      <c r="H43" s="103" t="s">
        <v>16</v>
      </c>
      <c r="I43" s="103">
        <v>9</v>
      </c>
      <c r="J43" s="103">
        <v>8</v>
      </c>
      <c r="K43" s="104">
        <v>46225</v>
      </c>
      <c r="L43" s="104">
        <v>46228</v>
      </c>
      <c r="M43" s="103">
        <v>3</v>
      </c>
      <c r="N43" s="105"/>
      <c r="O43" s="105">
        <v>0</v>
      </c>
      <c r="P43" s="103">
        <f t="shared" si="8"/>
        <v>216</v>
      </c>
      <c r="Q43" s="103">
        <f t="shared" si="9"/>
        <v>0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1" customHeight="1" x14ac:dyDescent="0.25">
      <c r="A44" s="34"/>
      <c r="B44" s="103" t="s">
        <v>140</v>
      </c>
      <c r="C44" s="103" t="s">
        <v>141</v>
      </c>
      <c r="D44" s="103" t="s">
        <v>142</v>
      </c>
      <c r="E44" s="103"/>
      <c r="F44" s="103" t="s">
        <v>143</v>
      </c>
      <c r="G44" s="103"/>
      <c r="H44" s="103" t="s">
        <v>15</v>
      </c>
      <c r="I44" s="103">
        <v>9</v>
      </c>
      <c r="J44" s="103">
        <v>5</v>
      </c>
      <c r="K44" s="104">
        <v>46225</v>
      </c>
      <c r="L44" s="104">
        <v>46228</v>
      </c>
      <c r="M44" s="103">
        <v>1</v>
      </c>
      <c r="N44" s="105"/>
      <c r="O44" s="105">
        <v>0</v>
      </c>
      <c r="P44" s="103">
        <f t="shared" si="8"/>
        <v>45</v>
      </c>
      <c r="Q44" s="103">
        <f t="shared" si="9"/>
        <v>0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21" customHeight="1" x14ac:dyDescent="0.25">
      <c r="A45" s="34"/>
      <c r="B45" s="103" t="s">
        <v>144</v>
      </c>
      <c r="C45" s="103" t="s">
        <v>145</v>
      </c>
      <c r="D45" s="103" t="s">
        <v>146</v>
      </c>
      <c r="E45" s="103"/>
      <c r="F45" s="103" t="s">
        <v>147</v>
      </c>
      <c r="G45" s="103"/>
      <c r="H45" s="103" t="s">
        <v>14</v>
      </c>
      <c r="I45" s="103">
        <v>9</v>
      </c>
      <c r="J45" s="103">
        <v>5</v>
      </c>
      <c r="K45" s="104">
        <v>46225</v>
      </c>
      <c r="L45" s="104">
        <v>46228</v>
      </c>
      <c r="M45" s="103">
        <v>1</v>
      </c>
      <c r="N45" s="105"/>
      <c r="O45" s="105">
        <v>0</v>
      </c>
      <c r="P45" s="103">
        <f t="shared" si="8"/>
        <v>45</v>
      </c>
      <c r="Q45" s="103">
        <f t="shared" si="9"/>
        <v>0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21" customHeight="1" x14ac:dyDescent="0.25">
      <c r="A46" s="34"/>
      <c r="B46" s="106" t="s">
        <v>148</v>
      </c>
      <c r="C46" s="106" t="s">
        <v>149</v>
      </c>
      <c r="D46" s="106"/>
      <c r="E46" s="106"/>
      <c r="F46" s="106"/>
      <c r="G46" s="106"/>
      <c r="H46" s="106"/>
      <c r="I46" s="106"/>
      <c r="J46" s="106"/>
      <c r="K46" s="107"/>
      <c r="L46" s="107"/>
      <c r="M46" s="106"/>
      <c r="N46" s="108"/>
      <c r="O46" s="108"/>
      <c r="P46" s="106"/>
      <c r="Q46" s="106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21" customHeight="1" x14ac:dyDescent="0.25">
      <c r="A47" s="34"/>
      <c r="B47" s="54"/>
      <c r="C47" s="53"/>
      <c r="D47" s="54"/>
      <c r="F47" s="54"/>
      <c r="G47" s="54"/>
      <c r="H47" s="55"/>
      <c r="I47" s="55"/>
      <c r="J47" s="55"/>
      <c r="K47" s="56"/>
      <c r="L47" s="56"/>
      <c r="M47" s="55"/>
      <c r="N47" s="57"/>
      <c r="O47" s="57"/>
      <c r="P47" s="55"/>
      <c r="Q47" s="55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1" customHeight="1" x14ac:dyDescent="0.25">
      <c r="A48" s="34"/>
      <c r="B48" s="109" t="s">
        <v>150</v>
      </c>
      <c r="C48" s="109" t="s">
        <v>151</v>
      </c>
      <c r="D48" s="109" t="s">
        <v>152</v>
      </c>
      <c r="E48" s="109"/>
      <c r="F48" s="109" t="s">
        <v>153</v>
      </c>
      <c r="G48" s="109"/>
      <c r="H48" s="109" t="s">
        <v>17</v>
      </c>
      <c r="I48" s="109">
        <v>9</v>
      </c>
      <c r="J48" s="109">
        <v>7</v>
      </c>
      <c r="K48" s="110">
        <v>46230</v>
      </c>
      <c r="L48" s="110">
        <v>46232</v>
      </c>
      <c r="M48" s="109">
        <v>2</v>
      </c>
      <c r="N48" s="111"/>
      <c r="O48" s="111">
        <v>0</v>
      </c>
      <c r="P48" s="109">
        <f t="shared" ref="P48:P61" si="10">ROUND(I48*J48*M48,1)</f>
        <v>126</v>
      </c>
      <c r="Q48" s="109">
        <f t="shared" ref="Q48:Q61" si="11">ROUND(P48*O48,1)</f>
        <v>0</v>
      </c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1" customHeight="1" x14ac:dyDescent="0.25">
      <c r="A49" s="34"/>
      <c r="B49" s="109" t="s">
        <v>154</v>
      </c>
      <c r="C49" s="109" t="s">
        <v>155</v>
      </c>
      <c r="D49" s="109" t="s">
        <v>156</v>
      </c>
      <c r="E49" s="109"/>
      <c r="F49" s="109" t="s">
        <v>157</v>
      </c>
      <c r="G49" s="109"/>
      <c r="H49" s="109" t="s">
        <v>18</v>
      </c>
      <c r="I49" s="109">
        <v>8</v>
      </c>
      <c r="J49" s="109">
        <v>5</v>
      </c>
      <c r="K49" s="110">
        <v>46230</v>
      </c>
      <c r="L49" s="110">
        <v>46232</v>
      </c>
      <c r="M49" s="109">
        <v>1</v>
      </c>
      <c r="N49" s="111"/>
      <c r="O49" s="111">
        <v>0</v>
      </c>
      <c r="P49" s="109">
        <f t="shared" si="10"/>
        <v>40</v>
      </c>
      <c r="Q49" s="109">
        <f t="shared" si="11"/>
        <v>0</v>
      </c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21" customHeight="1" x14ac:dyDescent="0.25">
      <c r="A50" s="34"/>
      <c r="B50" s="109" t="s">
        <v>158</v>
      </c>
      <c r="C50" s="109" t="s">
        <v>159</v>
      </c>
      <c r="D50" s="109" t="s">
        <v>160</v>
      </c>
      <c r="E50" s="109"/>
      <c r="F50" s="109" t="s">
        <v>161</v>
      </c>
      <c r="G50" s="109"/>
      <c r="H50" s="109" t="s">
        <v>16</v>
      </c>
      <c r="I50" s="109">
        <v>9</v>
      </c>
      <c r="J50" s="109">
        <v>7</v>
      </c>
      <c r="K50" s="110">
        <v>46230</v>
      </c>
      <c r="L50" s="110">
        <v>46232</v>
      </c>
      <c r="M50" s="109">
        <v>2</v>
      </c>
      <c r="N50" s="111"/>
      <c r="O50" s="111">
        <v>0</v>
      </c>
      <c r="P50" s="109">
        <f t="shared" si="10"/>
        <v>126</v>
      </c>
      <c r="Q50" s="109">
        <f t="shared" si="11"/>
        <v>0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21" customHeight="1" x14ac:dyDescent="0.25">
      <c r="A51" s="34"/>
      <c r="B51" s="109" t="s">
        <v>162</v>
      </c>
      <c r="C51" s="109" t="s">
        <v>163</v>
      </c>
      <c r="D51" s="109" t="s">
        <v>164</v>
      </c>
      <c r="E51" s="109"/>
      <c r="F51" s="109" t="s">
        <v>165</v>
      </c>
      <c r="G51" s="109"/>
      <c r="H51" s="109" t="s">
        <v>16</v>
      </c>
      <c r="I51" s="109">
        <v>9</v>
      </c>
      <c r="J51" s="109">
        <v>7</v>
      </c>
      <c r="K51" s="110">
        <v>46230</v>
      </c>
      <c r="L51" s="110">
        <v>46232</v>
      </c>
      <c r="M51" s="109">
        <v>2</v>
      </c>
      <c r="N51" s="111"/>
      <c r="O51" s="111">
        <v>0</v>
      </c>
      <c r="P51" s="109">
        <f t="shared" si="10"/>
        <v>126</v>
      </c>
      <c r="Q51" s="109">
        <f t="shared" si="11"/>
        <v>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21" customHeight="1" x14ac:dyDescent="0.25">
      <c r="A52" s="34"/>
      <c r="B52" s="112" t="s">
        <v>166</v>
      </c>
      <c r="C52" s="109" t="s">
        <v>167</v>
      </c>
      <c r="D52" s="109" t="s">
        <v>168</v>
      </c>
      <c r="E52" s="109"/>
      <c r="F52" s="109" t="s">
        <v>169</v>
      </c>
      <c r="G52" s="109"/>
      <c r="H52" s="109" t="s">
        <v>14</v>
      </c>
      <c r="I52" s="109">
        <v>9</v>
      </c>
      <c r="J52" s="109">
        <v>6</v>
      </c>
      <c r="K52" s="110">
        <v>46230</v>
      </c>
      <c r="L52" s="110">
        <v>46232</v>
      </c>
      <c r="M52" s="109">
        <v>2</v>
      </c>
      <c r="N52" s="111"/>
      <c r="O52" s="111">
        <v>0</v>
      </c>
      <c r="P52" s="109">
        <f t="shared" si="10"/>
        <v>108</v>
      </c>
      <c r="Q52" s="109">
        <f t="shared" si="11"/>
        <v>0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21" customHeight="1" x14ac:dyDescent="0.25">
      <c r="A53" s="34"/>
      <c r="B53" s="112" t="s">
        <v>170</v>
      </c>
      <c r="C53" s="109" t="s">
        <v>171</v>
      </c>
      <c r="D53" s="109" t="s">
        <v>172</v>
      </c>
      <c r="E53" s="109"/>
      <c r="F53" s="109" t="s">
        <v>173</v>
      </c>
      <c r="G53" s="109"/>
      <c r="H53" s="109" t="s">
        <v>18</v>
      </c>
      <c r="I53" s="109">
        <v>8</v>
      </c>
      <c r="J53" s="109">
        <v>6</v>
      </c>
      <c r="K53" s="110">
        <v>46230</v>
      </c>
      <c r="L53" s="110">
        <v>46232</v>
      </c>
      <c r="M53" s="109">
        <v>1</v>
      </c>
      <c r="N53" s="111"/>
      <c r="O53" s="111">
        <v>0</v>
      </c>
      <c r="P53" s="109">
        <f t="shared" si="10"/>
        <v>48</v>
      </c>
      <c r="Q53" s="109">
        <f t="shared" si="11"/>
        <v>0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1" customHeight="1" x14ac:dyDescent="0.25">
      <c r="A54" s="34"/>
      <c r="B54" s="112" t="s">
        <v>174</v>
      </c>
      <c r="C54" s="109" t="s">
        <v>175</v>
      </c>
      <c r="D54" s="109" t="s">
        <v>176</v>
      </c>
      <c r="E54" s="109"/>
      <c r="F54" s="109" t="s">
        <v>177</v>
      </c>
      <c r="G54" s="109"/>
      <c r="H54" s="109" t="s">
        <v>17</v>
      </c>
      <c r="I54" s="109">
        <v>8</v>
      </c>
      <c r="J54" s="109">
        <v>6</v>
      </c>
      <c r="K54" s="110">
        <v>46230</v>
      </c>
      <c r="L54" s="110">
        <v>46232</v>
      </c>
      <c r="M54" s="109">
        <v>1</v>
      </c>
      <c r="N54" s="111"/>
      <c r="O54" s="111">
        <v>0</v>
      </c>
      <c r="P54" s="109">
        <f t="shared" si="10"/>
        <v>48</v>
      </c>
      <c r="Q54" s="109">
        <f t="shared" si="11"/>
        <v>0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1" customHeight="1" x14ac:dyDescent="0.25">
      <c r="A55" s="34"/>
      <c r="B55" s="112" t="s">
        <v>178</v>
      </c>
      <c r="C55" s="109" t="s">
        <v>179</v>
      </c>
      <c r="D55" s="109" t="s">
        <v>180</v>
      </c>
      <c r="E55" s="109"/>
      <c r="F55" s="109" t="s">
        <v>181</v>
      </c>
      <c r="G55" s="109"/>
      <c r="H55" s="109" t="s">
        <v>16</v>
      </c>
      <c r="I55" s="109">
        <v>8</v>
      </c>
      <c r="J55" s="109">
        <v>7</v>
      </c>
      <c r="K55" s="110">
        <v>46230</v>
      </c>
      <c r="L55" s="110">
        <v>46232</v>
      </c>
      <c r="M55" s="109">
        <v>2</v>
      </c>
      <c r="N55" s="111"/>
      <c r="O55" s="111">
        <v>0</v>
      </c>
      <c r="P55" s="109">
        <f t="shared" si="10"/>
        <v>112</v>
      </c>
      <c r="Q55" s="109">
        <f t="shared" si="11"/>
        <v>0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1" customHeight="1" x14ac:dyDescent="0.25">
      <c r="A56" s="34"/>
      <c r="B56" s="112" t="s">
        <v>182</v>
      </c>
      <c r="C56" s="109" t="s">
        <v>183</v>
      </c>
      <c r="D56" s="109" t="s">
        <v>184</v>
      </c>
      <c r="E56" s="109"/>
      <c r="F56" s="109" t="s">
        <v>185</v>
      </c>
      <c r="G56" s="109"/>
      <c r="H56" s="109" t="s">
        <v>14</v>
      </c>
      <c r="I56" s="109">
        <v>9</v>
      </c>
      <c r="J56" s="109">
        <v>6</v>
      </c>
      <c r="K56" s="110">
        <v>46230</v>
      </c>
      <c r="L56" s="110">
        <v>46232</v>
      </c>
      <c r="M56" s="109">
        <v>1</v>
      </c>
      <c r="N56" s="111"/>
      <c r="O56" s="111">
        <v>0</v>
      </c>
      <c r="P56" s="109">
        <f t="shared" si="10"/>
        <v>54</v>
      </c>
      <c r="Q56" s="109">
        <f t="shared" si="11"/>
        <v>0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21" customHeight="1" x14ac:dyDescent="0.25">
      <c r="A57" s="34"/>
      <c r="B57" s="109" t="s">
        <v>186</v>
      </c>
      <c r="C57" s="109" t="s">
        <v>187</v>
      </c>
      <c r="D57" s="109" t="s">
        <v>188</v>
      </c>
      <c r="E57" s="109"/>
      <c r="F57" s="109" t="s">
        <v>189</v>
      </c>
      <c r="G57" s="109"/>
      <c r="H57" s="109" t="s">
        <v>15</v>
      </c>
      <c r="I57" s="109">
        <v>9</v>
      </c>
      <c r="J57" s="109">
        <v>6</v>
      </c>
      <c r="K57" s="110">
        <v>46230</v>
      </c>
      <c r="L57" s="110">
        <v>46232</v>
      </c>
      <c r="M57" s="109">
        <v>1</v>
      </c>
      <c r="N57" s="109"/>
      <c r="O57" s="109">
        <v>0</v>
      </c>
      <c r="P57" s="109">
        <f t="shared" si="10"/>
        <v>54</v>
      </c>
      <c r="Q57" s="109">
        <f t="shared" si="11"/>
        <v>0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21" customHeight="1" x14ac:dyDescent="0.25">
      <c r="A58" s="34"/>
      <c r="B58" s="109" t="s">
        <v>190</v>
      </c>
      <c r="C58" s="109" t="s">
        <v>191</v>
      </c>
      <c r="D58" s="109" t="s">
        <v>192</v>
      </c>
      <c r="E58" s="109"/>
      <c r="F58" s="109" t="s">
        <v>193</v>
      </c>
      <c r="G58" s="109"/>
      <c r="H58" s="109" t="s">
        <v>16</v>
      </c>
      <c r="I58" s="109">
        <v>8</v>
      </c>
      <c r="J58" s="109">
        <v>6</v>
      </c>
      <c r="K58" s="110">
        <v>46230</v>
      </c>
      <c r="L58" s="110">
        <v>46232</v>
      </c>
      <c r="M58" s="109">
        <v>1</v>
      </c>
      <c r="N58" s="109"/>
      <c r="O58" s="109">
        <v>0</v>
      </c>
      <c r="P58" s="109">
        <f t="shared" si="10"/>
        <v>48</v>
      </c>
      <c r="Q58" s="109">
        <f t="shared" si="11"/>
        <v>0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1" customHeight="1" x14ac:dyDescent="0.25">
      <c r="A59" s="34"/>
      <c r="B59" s="109" t="s">
        <v>194</v>
      </c>
      <c r="C59" s="109" t="s">
        <v>195</v>
      </c>
      <c r="D59" s="109" t="s">
        <v>196</v>
      </c>
      <c r="E59" s="109"/>
      <c r="F59" s="109" t="s">
        <v>197</v>
      </c>
      <c r="G59" s="109"/>
      <c r="H59" s="109" t="s">
        <v>18</v>
      </c>
      <c r="I59" s="109">
        <v>8</v>
      </c>
      <c r="J59" s="109">
        <v>7</v>
      </c>
      <c r="K59" s="110">
        <v>46230</v>
      </c>
      <c r="L59" s="110">
        <v>46232</v>
      </c>
      <c r="M59" s="109">
        <v>1</v>
      </c>
      <c r="N59" s="109"/>
      <c r="O59" s="109">
        <v>0</v>
      </c>
      <c r="P59" s="109">
        <f t="shared" si="10"/>
        <v>56</v>
      </c>
      <c r="Q59" s="109">
        <f t="shared" si="11"/>
        <v>0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1" customHeight="1" x14ac:dyDescent="0.25">
      <c r="A60" s="34"/>
      <c r="B60" s="109" t="s">
        <v>198</v>
      </c>
      <c r="C60" s="109" t="s">
        <v>199</v>
      </c>
      <c r="D60" s="109" t="s">
        <v>200</v>
      </c>
      <c r="E60" s="109"/>
      <c r="F60" s="109" t="s">
        <v>201</v>
      </c>
      <c r="G60" s="109"/>
      <c r="H60" s="109" t="s">
        <v>15</v>
      </c>
      <c r="I60" s="109">
        <v>9</v>
      </c>
      <c r="J60" s="109">
        <v>8</v>
      </c>
      <c r="K60" s="110">
        <v>46230</v>
      </c>
      <c r="L60" s="110">
        <v>46232</v>
      </c>
      <c r="M60" s="109">
        <v>2</v>
      </c>
      <c r="N60" s="109"/>
      <c r="O60" s="109">
        <v>0</v>
      </c>
      <c r="P60" s="109">
        <f t="shared" si="10"/>
        <v>144</v>
      </c>
      <c r="Q60" s="109">
        <f t="shared" si="11"/>
        <v>0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1" customHeight="1" x14ac:dyDescent="0.25">
      <c r="A61" s="34"/>
      <c r="B61" s="112" t="s">
        <v>202</v>
      </c>
      <c r="C61" s="109" t="s">
        <v>203</v>
      </c>
      <c r="D61" s="109" t="s">
        <v>204</v>
      </c>
      <c r="E61" s="109"/>
      <c r="F61" s="109" t="s">
        <v>205</v>
      </c>
      <c r="G61" s="109"/>
      <c r="H61" s="109" t="s">
        <v>17</v>
      </c>
      <c r="I61" s="109">
        <v>9</v>
      </c>
      <c r="J61" s="109">
        <v>8</v>
      </c>
      <c r="K61" s="110">
        <v>46230</v>
      </c>
      <c r="L61" s="110">
        <v>46232</v>
      </c>
      <c r="M61" s="109">
        <v>2</v>
      </c>
      <c r="N61" s="111"/>
      <c r="O61" s="111">
        <v>0</v>
      </c>
      <c r="P61" s="109">
        <f t="shared" si="10"/>
        <v>144</v>
      </c>
      <c r="Q61" s="109">
        <f t="shared" si="11"/>
        <v>0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1" customHeight="1" x14ac:dyDescent="0.25">
      <c r="A62" s="34"/>
      <c r="B62" s="113" t="s">
        <v>206</v>
      </c>
      <c r="C62" s="114" t="s">
        <v>207</v>
      </c>
      <c r="D62" s="114"/>
      <c r="E62" s="114"/>
      <c r="F62" s="114"/>
      <c r="G62" s="114"/>
      <c r="H62" s="114"/>
      <c r="I62" s="114"/>
      <c r="J62" s="114"/>
      <c r="K62" s="115"/>
      <c r="L62" s="115"/>
      <c r="M62" s="114"/>
      <c r="N62" s="116"/>
      <c r="O62" s="116"/>
      <c r="P62" s="114"/>
      <c r="Q62" s="114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1" customHeight="1" x14ac:dyDescent="0.25">
      <c r="A63" s="34"/>
      <c r="B63" s="84"/>
      <c r="C63" s="53"/>
      <c r="D63" s="54"/>
      <c r="F63" s="54"/>
      <c r="G63" s="54"/>
      <c r="H63" s="55"/>
      <c r="I63" s="55"/>
      <c r="J63" s="55"/>
      <c r="K63" s="56"/>
      <c r="L63" s="56"/>
      <c r="M63" s="55"/>
      <c r="N63" s="57"/>
      <c r="O63" s="57"/>
      <c r="P63" s="55"/>
      <c r="Q63" s="55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21" customHeight="1" x14ac:dyDescent="0.25">
      <c r="A64" s="34"/>
      <c r="B64" s="117" t="s">
        <v>208</v>
      </c>
      <c r="C64" s="118" t="s">
        <v>209</v>
      </c>
      <c r="D64" s="118" t="s">
        <v>210</v>
      </c>
      <c r="E64" s="118"/>
      <c r="F64" s="118" t="s">
        <v>211</v>
      </c>
      <c r="G64" s="118"/>
      <c r="H64" s="118" t="s">
        <v>17</v>
      </c>
      <c r="I64" s="118">
        <v>8</v>
      </c>
      <c r="J64" s="118">
        <v>5</v>
      </c>
      <c r="K64" s="119">
        <v>46233</v>
      </c>
      <c r="L64" s="119">
        <v>46235</v>
      </c>
      <c r="M64" s="118">
        <v>1</v>
      </c>
      <c r="N64" s="120"/>
      <c r="O64" s="120">
        <v>0</v>
      </c>
      <c r="P64" s="118">
        <f t="shared" ref="P64:P79" si="12">ROUND(I64*J64*M64,1)</f>
        <v>40</v>
      </c>
      <c r="Q64" s="118">
        <f t="shared" ref="Q64:Q79" si="13">ROUND(P64*O64,1)</f>
        <v>0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21" customHeight="1" x14ac:dyDescent="0.25">
      <c r="A65" s="34"/>
      <c r="B65" s="117" t="s">
        <v>212</v>
      </c>
      <c r="C65" s="118" t="s">
        <v>213</v>
      </c>
      <c r="D65" s="118" t="s">
        <v>214</v>
      </c>
      <c r="E65" s="118"/>
      <c r="F65" s="118" t="s">
        <v>215</v>
      </c>
      <c r="G65" s="118"/>
      <c r="H65" s="118" t="s">
        <v>18</v>
      </c>
      <c r="I65" s="118">
        <v>8</v>
      </c>
      <c r="J65" s="118">
        <v>5</v>
      </c>
      <c r="K65" s="119">
        <v>46233</v>
      </c>
      <c r="L65" s="119">
        <v>46235</v>
      </c>
      <c r="M65" s="118">
        <v>1</v>
      </c>
      <c r="N65" s="120"/>
      <c r="O65" s="120">
        <v>0</v>
      </c>
      <c r="P65" s="118">
        <f t="shared" si="12"/>
        <v>40</v>
      </c>
      <c r="Q65" s="118">
        <f t="shared" si="13"/>
        <v>0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17" t="s">
        <v>216</v>
      </c>
      <c r="C66" s="118" t="s">
        <v>217</v>
      </c>
      <c r="D66" s="118" t="s">
        <v>218</v>
      </c>
      <c r="E66" s="118"/>
      <c r="F66" s="118" t="s">
        <v>219</v>
      </c>
      <c r="G66" s="118"/>
      <c r="H66" s="118" t="s">
        <v>18</v>
      </c>
      <c r="I66" s="118">
        <v>8</v>
      </c>
      <c r="J66" s="118">
        <v>4</v>
      </c>
      <c r="K66" s="119">
        <v>46233</v>
      </c>
      <c r="L66" s="119">
        <v>46235</v>
      </c>
      <c r="M66" s="118">
        <v>1</v>
      </c>
      <c r="N66" s="120"/>
      <c r="O66" s="120">
        <v>0</v>
      </c>
      <c r="P66" s="118">
        <f t="shared" si="12"/>
        <v>32</v>
      </c>
      <c r="Q66" s="118">
        <f t="shared" si="13"/>
        <v>0</v>
      </c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18" t="s">
        <v>220</v>
      </c>
      <c r="C67" s="118" t="s">
        <v>221</v>
      </c>
      <c r="D67" s="118" t="s">
        <v>222</v>
      </c>
      <c r="E67" s="118"/>
      <c r="F67" s="118" t="s">
        <v>223</v>
      </c>
      <c r="G67" s="118"/>
      <c r="H67" s="118" t="s">
        <v>17</v>
      </c>
      <c r="I67" s="118">
        <v>7</v>
      </c>
      <c r="J67" s="118">
        <v>4</v>
      </c>
      <c r="K67" s="119">
        <v>46233</v>
      </c>
      <c r="L67" s="119">
        <v>46235</v>
      </c>
      <c r="M67" s="118">
        <v>1</v>
      </c>
      <c r="N67" s="118"/>
      <c r="O67" s="118">
        <v>0</v>
      </c>
      <c r="P67" s="118">
        <f t="shared" si="12"/>
        <v>28</v>
      </c>
      <c r="Q67" s="118">
        <f t="shared" si="13"/>
        <v>0</v>
      </c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17" t="s">
        <v>224</v>
      </c>
      <c r="C68" s="118" t="s">
        <v>225</v>
      </c>
      <c r="D68" s="118" t="s">
        <v>226</v>
      </c>
      <c r="E68" s="118"/>
      <c r="F68" s="118" t="s">
        <v>227</v>
      </c>
      <c r="G68" s="118"/>
      <c r="H68" s="118" t="s">
        <v>15</v>
      </c>
      <c r="I68" s="118">
        <v>9</v>
      </c>
      <c r="J68" s="118">
        <v>7</v>
      </c>
      <c r="K68" s="119">
        <v>46233</v>
      </c>
      <c r="L68" s="119">
        <v>46235</v>
      </c>
      <c r="M68" s="118">
        <v>3</v>
      </c>
      <c r="N68" s="120"/>
      <c r="O68" s="120">
        <v>0</v>
      </c>
      <c r="P68" s="118">
        <f t="shared" si="12"/>
        <v>189</v>
      </c>
      <c r="Q68" s="118">
        <f t="shared" si="13"/>
        <v>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17" t="s">
        <v>228</v>
      </c>
      <c r="C69" s="118" t="s">
        <v>229</v>
      </c>
      <c r="D69" s="118" t="s">
        <v>230</v>
      </c>
      <c r="E69" s="118"/>
      <c r="F69" s="118" t="s">
        <v>231</v>
      </c>
      <c r="G69" s="118"/>
      <c r="H69" s="118" t="s">
        <v>16</v>
      </c>
      <c r="I69" s="118">
        <v>9</v>
      </c>
      <c r="J69" s="118">
        <v>6</v>
      </c>
      <c r="K69" s="119">
        <v>46233</v>
      </c>
      <c r="L69" s="119">
        <v>46235</v>
      </c>
      <c r="M69" s="118">
        <v>1</v>
      </c>
      <c r="N69" s="120"/>
      <c r="O69" s="120">
        <v>0</v>
      </c>
      <c r="P69" s="118">
        <f t="shared" si="12"/>
        <v>54</v>
      </c>
      <c r="Q69" s="118">
        <f t="shared" si="13"/>
        <v>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17" t="s">
        <v>232</v>
      </c>
      <c r="C70" s="118" t="s">
        <v>233</v>
      </c>
      <c r="D70" s="118" t="s">
        <v>234</v>
      </c>
      <c r="E70" s="118"/>
      <c r="F70" s="118" t="s">
        <v>235</v>
      </c>
      <c r="G70" s="118"/>
      <c r="H70" s="118" t="s">
        <v>17</v>
      </c>
      <c r="I70" s="118">
        <v>8</v>
      </c>
      <c r="J70" s="118">
        <v>7</v>
      </c>
      <c r="K70" s="119">
        <v>46233</v>
      </c>
      <c r="L70" s="119">
        <v>46235</v>
      </c>
      <c r="M70" s="118">
        <v>2</v>
      </c>
      <c r="N70" s="120"/>
      <c r="O70" s="120">
        <v>0</v>
      </c>
      <c r="P70" s="118">
        <f t="shared" si="12"/>
        <v>112</v>
      </c>
      <c r="Q70" s="118">
        <f t="shared" si="13"/>
        <v>0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17" t="s">
        <v>236</v>
      </c>
      <c r="C71" s="118" t="s">
        <v>237</v>
      </c>
      <c r="D71" s="118" t="s">
        <v>238</v>
      </c>
      <c r="E71" s="118"/>
      <c r="F71" s="118" t="s">
        <v>239</v>
      </c>
      <c r="G71" s="118"/>
      <c r="H71" s="118" t="s">
        <v>15</v>
      </c>
      <c r="I71" s="118">
        <v>6</v>
      </c>
      <c r="J71" s="118">
        <v>6</v>
      </c>
      <c r="K71" s="119">
        <v>46233</v>
      </c>
      <c r="L71" s="119">
        <v>46235</v>
      </c>
      <c r="M71" s="118">
        <v>1</v>
      </c>
      <c r="N71" s="120"/>
      <c r="O71" s="120">
        <v>0</v>
      </c>
      <c r="P71" s="118">
        <f t="shared" si="12"/>
        <v>36</v>
      </c>
      <c r="Q71" s="118">
        <f t="shared" si="13"/>
        <v>0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17" t="s">
        <v>240</v>
      </c>
      <c r="C72" s="118" t="s">
        <v>241</v>
      </c>
      <c r="D72" s="118" t="s">
        <v>242</v>
      </c>
      <c r="E72" s="118"/>
      <c r="F72" s="118" t="s">
        <v>243</v>
      </c>
      <c r="G72" s="118"/>
      <c r="H72" s="118" t="s">
        <v>14</v>
      </c>
      <c r="I72" s="118">
        <v>6</v>
      </c>
      <c r="J72" s="118">
        <v>5</v>
      </c>
      <c r="K72" s="119">
        <v>46233</v>
      </c>
      <c r="L72" s="119">
        <v>46235</v>
      </c>
      <c r="M72" s="118">
        <v>1</v>
      </c>
      <c r="N72" s="120"/>
      <c r="O72" s="120">
        <v>0</v>
      </c>
      <c r="P72" s="118">
        <f t="shared" si="12"/>
        <v>30</v>
      </c>
      <c r="Q72" s="118">
        <f t="shared" si="13"/>
        <v>0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17" t="s">
        <v>244</v>
      </c>
      <c r="C73" s="118" t="s">
        <v>245</v>
      </c>
      <c r="D73" s="118" t="s">
        <v>246</v>
      </c>
      <c r="E73" s="118"/>
      <c r="F73" s="118" t="s">
        <v>247</v>
      </c>
      <c r="G73" s="118"/>
      <c r="H73" s="118" t="s">
        <v>18</v>
      </c>
      <c r="I73" s="118">
        <v>9</v>
      </c>
      <c r="J73" s="118">
        <v>6</v>
      </c>
      <c r="K73" s="119">
        <v>46233</v>
      </c>
      <c r="L73" s="119">
        <v>46235</v>
      </c>
      <c r="M73" s="118">
        <v>1</v>
      </c>
      <c r="N73" s="120"/>
      <c r="O73" s="120">
        <v>0</v>
      </c>
      <c r="P73" s="118">
        <f t="shared" si="12"/>
        <v>54</v>
      </c>
      <c r="Q73" s="118">
        <f t="shared" si="13"/>
        <v>0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18" t="s">
        <v>248</v>
      </c>
      <c r="C74" s="118" t="s">
        <v>249</v>
      </c>
      <c r="D74" s="118" t="s">
        <v>250</v>
      </c>
      <c r="E74" s="118"/>
      <c r="F74" s="118" t="s">
        <v>251</v>
      </c>
      <c r="G74" s="118"/>
      <c r="H74" s="118" t="s">
        <v>16</v>
      </c>
      <c r="I74" s="118">
        <v>8</v>
      </c>
      <c r="J74" s="118">
        <v>7</v>
      </c>
      <c r="K74" s="119">
        <v>46233</v>
      </c>
      <c r="L74" s="119">
        <v>46235</v>
      </c>
      <c r="M74" s="118">
        <v>2</v>
      </c>
      <c r="N74" s="118"/>
      <c r="O74" s="118">
        <v>0</v>
      </c>
      <c r="P74" s="118">
        <f t="shared" si="12"/>
        <v>112</v>
      </c>
      <c r="Q74" s="118">
        <f t="shared" si="13"/>
        <v>0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17" t="s">
        <v>252</v>
      </c>
      <c r="C75" s="118" t="s">
        <v>253</v>
      </c>
      <c r="D75" s="118" t="s">
        <v>254</v>
      </c>
      <c r="E75" s="118"/>
      <c r="F75" s="118" t="s">
        <v>255</v>
      </c>
      <c r="G75" s="118"/>
      <c r="H75" s="118" t="s">
        <v>15</v>
      </c>
      <c r="I75" s="118">
        <v>7</v>
      </c>
      <c r="J75" s="118">
        <v>5</v>
      </c>
      <c r="K75" s="119">
        <v>46233</v>
      </c>
      <c r="L75" s="119">
        <v>46235</v>
      </c>
      <c r="M75" s="118">
        <v>1</v>
      </c>
      <c r="N75" s="120"/>
      <c r="O75" s="120">
        <v>0</v>
      </c>
      <c r="P75" s="118">
        <f t="shared" si="12"/>
        <v>35</v>
      </c>
      <c r="Q75" s="118">
        <f t="shared" si="13"/>
        <v>0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17" t="s">
        <v>256</v>
      </c>
      <c r="C76" s="118" t="s">
        <v>257</v>
      </c>
      <c r="D76" s="118" t="s">
        <v>258</v>
      </c>
      <c r="E76" s="118"/>
      <c r="F76" s="118" t="s">
        <v>259</v>
      </c>
      <c r="G76" s="118"/>
      <c r="H76" s="118" t="s">
        <v>16</v>
      </c>
      <c r="I76" s="118">
        <v>8</v>
      </c>
      <c r="J76" s="118">
        <v>4</v>
      </c>
      <c r="K76" s="119">
        <v>46233</v>
      </c>
      <c r="L76" s="119">
        <v>46235</v>
      </c>
      <c r="M76" s="118">
        <v>1</v>
      </c>
      <c r="N76" s="120"/>
      <c r="O76" s="120">
        <v>0</v>
      </c>
      <c r="P76" s="118">
        <f t="shared" si="12"/>
        <v>32</v>
      </c>
      <c r="Q76" s="118">
        <f t="shared" si="13"/>
        <v>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1" customHeight="1" x14ac:dyDescent="0.25">
      <c r="A77" s="34"/>
      <c r="B77" s="117" t="s">
        <v>260</v>
      </c>
      <c r="C77" s="118" t="s">
        <v>261</v>
      </c>
      <c r="D77" s="118" t="s">
        <v>262</v>
      </c>
      <c r="E77" s="118"/>
      <c r="F77" s="118" t="s">
        <v>263</v>
      </c>
      <c r="G77" s="118"/>
      <c r="H77" s="118" t="s">
        <v>17</v>
      </c>
      <c r="I77" s="118">
        <v>9</v>
      </c>
      <c r="J77" s="118">
        <v>8</v>
      </c>
      <c r="K77" s="119">
        <v>46233</v>
      </c>
      <c r="L77" s="119">
        <v>46235</v>
      </c>
      <c r="M77" s="118">
        <v>3</v>
      </c>
      <c r="N77" s="120"/>
      <c r="O77" s="120">
        <v>0</v>
      </c>
      <c r="P77" s="118">
        <f t="shared" si="12"/>
        <v>216</v>
      </c>
      <c r="Q77" s="118">
        <f t="shared" si="13"/>
        <v>0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17" t="s">
        <v>264</v>
      </c>
      <c r="C78" s="118" t="s">
        <v>265</v>
      </c>
      <c r="D78" s="118" t="s">
        <v>266</v>
      </c>
      <c r="E78" s="118"/>
      <c r="F78" s="118" t="s">
        <v>267</v>
      </c>
      <c r="G78" s="118"/>
      <c r="H78" s="118" t="s">
        <v>15</v>
      </c>
      <c r="I78" s="118">
        <v>7</v>
      </c>
      <c r="J78" s="118">
        <v>4</v>
      </c>
      <c r="K78" s="119">
        <v>46233</v>
      </c>
      <c r="L78" s="119">
        <v>46235</v>
      </c>
      <c r="M78" s="118">
        <v>1</v>
      </c>
      <c r="N78" s="120"/>
      <c r="O78" s="120">
        <v>0</v>
      </c>
      <c r="P78" s="118">
        <f t="shared" si="12"/>
        <v>28</v>
      </c>
      <c r="Q78" s="118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17" t="s">
        <v>268</v>
      </c>
      <c r="C79" s="118" t="s">
        <v>269</v>
      </c>
      <c r="D79" s="118" t="s">
        <v>270</v>
      </c>
      <c r="E79" s="118"/>
      <c r="F79" s="118" t="s">
        <v>271</v>
      </c>
      <c r="G79" s="118"/>
      <c r="H79" s="118" t="s">
        <v>16</v>
      </c>
      <c r="I79" s="118">
        <v>9</v>
      </c>
      <c r="J79" s="118">
        <v>7</v>
      </c>
      <c r="K79" s="119">
        <v>46233</v>
      </c>
      <c r="L79" s="119">
        <v>46235</v>
      </c>
      <c r="M79" s="118">
        <v>2</v>
      </c>
      <c r="N79" s="120"/>
      <c r="O79" s="120">
        <v>0</v>
      </c>
      <c r="P79" s="118">
        <f t="shared" si="12"/>
        <v>126</v>
      </c>
      <c r="Q79" s="118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21" t="s">
        <v>272</v>
      </c>
      <c r="C80" s="122" t="s">
        <v>273</v>
      </c>
      <c r="D80" s="122"/>
      <c r="E80" s="122"/>
      <c r="F80" s="122"/>
      <c r="G80" s="122"/>
      <c r="H80" s="122"/>
      <c r="I80" s="122"/>
      <c r="J80" s="122"/>
      <c r="K80" s="123"/>
      <c r="L80" s="123"/>
      <c r="M80" s="122"/>
      <c r="N80" s="124"/>
      <c r="O80" s="124"/>
      <c r="P80" s="122"/>
      <c r="Q80" s="122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84"/>
      <c r="C81" s="53"/>
      <c r="D81" s="54"/>
      <c r="E81" s="54"/>
      <c r="F81" s="54"/>
      <c r="G81" s="54"/>
      <c r="H81" s="55"/>
      <c r="I81" s="55"/>
      <c r="J81" s="55"/>
      <c r="K81" s="56"/>
      <c r="L81" s="56"/>
      <c r="M81" s="55"/>
      <c r="N81" s="57"/>
      <c r="O81" s="57"/>
      <c r="P81" s="55"/>
      <c r="Q81" s="55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25" t="s">
        <v>274</v>
      </c>
      <c r="C82" s="125" t="s">
        <v>275</v>
      </c>
      <c r="D82" s="125" t="s">
        <v>276</v>
      </c>
      <c r="E82" s="125"/>
      <c r="F82" s="125" t="s">
        <v>277</v>
      </c>
      <c r="G82" s="125"/>
      <c r="H82" s="125" t="s">
        <v>15</v>
      </c>
      <c r="I82" s="125">
        <v>9</v>
      </c>
      <c r="J82" s="125">
        <v>8</v>
      </c>
      <c r="K82" s="126">
        <v>46237</v>
      </c>
      <c r="L82" s="126">
        <v>46239</v>
      </c>
      <c r="M82" s="125">
        <v>2</v>
      </c>
      <c r="N82" s="125"/>
      <c r="O82" s="125">
        <v>0</v>
      </c>
      <c r="P82" s="125">
        <f t="shared" ref="P82:P93" si="14">ROUND(I82*J82*M82,1)</f>
        <v>144</v>
      </c>
      <c r="Q82" s="125">
        <f t="shared" ref="Q82:Q93" si="15">ROUND(P82*O82,1)</f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27" t="s">
        <v>278</v>
      </c>
      <c r="C83" s="125" t="s">
        <v>279</v>
      </c>
      <c r="D83" s="125" t="s">
        <v>280</v>
      </c>
      <c r="E83" s="125"/>
      <c r="F83" s="125" t="s">
        <v>281</v>
      </c>
      <c r="G83" s="125"/>
      <c r="H83" s="125" t="s">
        <v>17</v>
      </c>
      <c r="I83" s="125">
        <v>9</v>
      </c>
      <c r="J83" s="125">
        <v>5</v>
      </c>
      <c r="K83" s="126">
        <v>46237</v>
      </c>
      <c r="L83" s="126">
        <v>46239</v>
      </c>
      <c r="M83" s="125">
        <v>1</v>
      </c>
      <c r="N83" s="128"/>
      <c r="O83" s="128">
        <v>0</v>
      </c>
      <c r="P83" s="125">
        <f t="shared" si="14"/>
        <v>45</v>
      </c>
      <c r="Q83" s="125">
        <f t="shared" si="15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27" t="s">
        <v>282</v>
      </c>
      <c r="C84" s="125" t="s">
        <v>283</v>
      </c>
      <c r="D84" s="125" t="s">
        <v>284</v>
      </c>
      <c r="E84" s="125"/>
      <c r="F84" s="125" t="s">
        <v>285</v>
      </c>
      <c r="G84" s="125"/>
      <c r="H84" s="125" t="s">
        <v>16</v>
      </c>
      <c r="I84" s="125">
        <v>9</v>
      </c>
      <c r="J84" s="125">
        <v>8</v>
      </c>
      <c r="K84" s="126">
        <v>46237</v>
      </c>
      <c r="L84" s="126">
        <v>46239</v>
      </c>
      <c r="M84" s="125">
        <v>3</v>
      </c>
      <c r="N84" s="128"/>
      <c r="O84" s="128">
        <v>0</v>
      </c>
      <c r="P84" s="125">
        <f t="shared" si="14"/>
        <v>216</v>
      </c>
      <c r="Q84" s="125">
        <f t="shared" si="15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27" t="s">
        <v>286</v>
      </c>
      <c r="C85" s="125" t="s">
        <v>287</v>
      </c>
      <c r="D85" s="125" t="s">
        <v>288</v>
      </c>
      <c r="E85" s="125"/>
      <c r="F85" s="125" t="s">
        <v>289</v>
      </c>
      <c r="G85" s="125" t="s">
        <v>290</v>
      </c>
      <c r="H85" s="125" t="s">
        <v>15</v>
      </c>
      <c r="I85" s="125">
        <v>9</v>
      </c>
      <c r="J85" s="125">
        <v>9</v>
      </c>
      <c r="K85" s="126">
        <v>46237</v>
      </c>
      <c r="L85" s="126">
        <v>46239</v>
      </c>
      <c r="M85" s="125">
        <v>3</v>
      </c>
      <c r="N85" s="128"/>
      <c r="O85" s="128">
        <v>0</v>
      </c>
      <c r="P85" s="125">
        <f t="shared" si="14"/>
        <v>243</v>
      </c>
      <c r="Q85" s="125">
        <f t="shared" si="15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27" t="s">
        <v>291</v>
      </c>
      <c r="C86" s="125" t="s">
        <v>292</v>
      </c>
      <c r="D86" s="125" t="s">
        <v>293</v>
      </c>
      <c r="E86" s="125"/>
      <c r="F86" s="125" t="s">
        <v>294</v>
      </c>
      <c r="G86" s="125"/>
      <c r="H86" s="125" t="s">
        <v>17</v>
      </c>
      <c r="I86" s="125">
        <v>9</v>
      </c>
      <c r="J86" s="125">
        <v>8</v>
      </c>
      <c r="K86" s="126">
        <v>46237</v>
      </c>
      <c r="L86" s="126">
        <v>46239</v>
      </c>
      <c r="M86" s="125">
        <v>2</v>
      </c>
      <c r="N86" s="128"/>
      <c r="O86" s="128">
        <v>0</v>
      </c>
      <c r="P86" s="125">
        <f t="shared" si="14"/>
        <v>144</v>
      </c>
      <c r="Q86" s="125">
        <f t="shared" si="15"/>
        <v>0</v>
      </c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27" t="s">
        <v>295</v>
      </c>
      <c r="C87" s="125" t="s">
        <v>296</v>
      </c>
      <c r="D87" s="125" t="s">
        <v>297</v>
      </c>
      <c r="E87" s="125"/>
      <c r="F87" s="125" t="s">
        <v>298</v>
      </c>
      <c r="G87" s="125"/>
      <c r="H87" s="125" t="s">
        <v>16</v>
      </c>
      <c r="I87" s="125">
        <v>9</v>
      </c>
      <c r="J87" s="125">
        <v>8</v>
      </c>
      <c r="K87" s="126">
        <v>46237</v>
      </c>
      <c r="L87" s="126">
        <v>46239</v>
      </c>
      <c r="M87" s="125">
        <v>2</v>
      </c>
      <c r="N87" s="128"/>
      <c r="O87" s="128">
        <v>0</v>
      </c>
      <c r="P87" s="125">
        <f t="shared" si="14"/>
        <v>144</v>
      </c>
      <c r="Q87" s="125">
        <f t="shared" si="15"/>
        <v>0</v>
      </c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21" customHeight="1" x14ac:dyDescent="0.25">
      <c r="A88" s="34"/>
      <c r="B88" s="127" t="s">
        <v>299</v>
      </c>
      <c r="C88" s="125" t="s">
        <v>300</v>
      </c>
      <c r="D88" s="125" t="s">
        <v>301</v>
      </c>
      <c r="E88" s="125"/>
      <c r="F88" s="125" t="s">
        <v>302</v>
      </c>
      <c r="G88" s="125" t="s">
        <v>303</v>
      </c>
      <c r="H88" s="125" t="s">
        <v>18</v>
      </c>
      <c r="I88" s="125">
        <v>10</v>
      </c>
      <c r="J88" s="125">
        <v>9</v>
      </c>
      <c r="K88" s="126">
        <v>46237</v>
      </c>
      <c r="L88" s="126">
        <v>46239</v>
      </c>
      <c r="M88" s="125">
        <v>3</v>
      </c>
      <c r="N88" s="128"/>
      <c r="O88" s="128">
        <v>0</v>
      </c>
      <c r="P88" s="125">
        <f t="shared" si="14"/>
        <v>270</v>
      </c>
      <c r="Q88" s="125">
        <f t="shared" si="15"/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1" customHeight="1" x14ac:dyDescent="0.25">
      <c r="A89" s="34"/>
      <c r="B89" s="127" t="s">
        <v>304</v>
      </c>
      <c r="C89" s="125" t="s">
        <v>305</v>
      </c>
      <c r="D89" s="125" t="s">
        <v>306</v>
      </c>
      <c r="E89" s="125"/>
      <c r="F89" s="125" t="s">
        <v>307</v>
      </c>
      <c r="G89" s="125"/>
      <c r="H89" s="125" t="s">
        <v>14</v>
      </c>
      <c r="I89" s="125">
        <v>9</v>
      </c>
      <c r="J89" s="125">
        <v>7</v>
      </c>
      <c r="K89" s="126">
        <v>46237</v>
      </c>
      <c r="L89" s="126">
        <v>46239</v>
      </c>
      <c r="M89" s="125">
        <v>1</v>
      </c>
      <c r="N89" s="128"/>
      <c r="O89" s="128">
        <v>0</v>
      </c>
      <c r="P89" s="125">
        <f t="shared" si="14"/>
        <v>63</v>
      </c>
      <c r="Q89" s="125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1" customHeight="1" x14ac:dyDescent="0.25">
      <c r="A90" s="34"/>
      <c r="B90" s="127" t="s">
        <v>308</v>
      </c>
      <c r="C90" s="125" t="s">
        <v>309</v>
      </c>
      <c r="D90" s="125" t="s">
        <v>310</v>
      </c>
      <c r="E90" s="125"/>
      <c r="F90" s="125" t="s">
        <v>311</v>
      </c>
      <c r="G90" s="125"/>
      <c r="H90" s="125" t="s">
        <v>17</v>
      </c>
      <c r="I90" s="125">
        <v>9</v>
      </c>
      <c r="J90" s="125">
        <v>5</v>
      </c>
      <c r="K90" s="126">
        <v>46237</v>
      </c>
      <c r="L90" s="126">
        <v>46239</v>
      </c>
      <c r="M90" s="125">
        <v>1</v>
      </c>
      <c r="N90" s="128"/>
      <c r="O90" s="128">
        <v>0</v>
      </c>
      <c r="P90" s="125">
        <f t="shared" si="14"/>
        <v>45</v>
      </c>
      <c r="Q90" s="125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21" customHeight="1" x14ac:dyDescent="0.25">
      <c r="A91" s="34"/>
      <c r="B91" s="127" t="s">
        <v>312</v>
      </c>
      <c r="C91" s="125" t="s">
        <v>313</v>
      </c>
      <c r="D91" s="125" t="s">
        <v>314</v>
      </c>
      <c r="E91" s="125"/>
      <c r="F91" s="125" t="s">
        <v>315</v>
      </c>
      <c r="G91" s="125"/>
      <c r="H91" s="125" t="s">
        <v>18</v>
      </c>
      <c r="I91" s="125">
        <v>8</v>
      </c>
      <c r="J91" s="125">
        <v>7</v>
      </c>
      <c r="K91" s="126">
        <v>46237</v>
      </c>
      <c r="L91" s="126">
        <v>46239</v>
      </c>
      <c r="M91" s="125">
        <v>2</v>
      </c>
      <c r="N91" s="128"/>
      <c r="O91" s="128">
        <v>0</v>
      </c>
      <c r="P91" s="125">
        <f t="shared" si="14"/>
        <v>112</v>
      </c>
      <c r="Q91" s="125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25" t="s">
        <v>316</v>
      </c>
      <c r="C92" s="125" t="s">
        <v>317</v>
      </c>
      <c r="D92" s="125" t="s">
        <v>318</v>
      </c>
      <c r="E92" s="125"/>
      <c r="F92" s="125" t="s">
        <v>319</v>
      </c>
      <c r="G92" s="125"/>
      <c r="H92" s="125" t="s">
        <v>15</v>
      </c>
      <c r="I92" s="125">
        <v>8</v>
      </c>
      <c r="J92" s="125">
        <v>6</v>
      </c>
      <c r="K92" s="126">
        <v>46237</v>
      </c>
      <c r="L92" s="126">
        <v>46239</v>
      </c>
      <c r="M92" s="125">
        <v>1</v>
      </c>
      <c r="N92" s="125"/>
      <c r="O92" s="125">
        <v>0</v>
      </c>
      <c r="P92" s="125">
        <f t="shared" si="14"/>
        <v>48</v>
      </c>
      <c r="Q92" s="125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27" t="s">
        <v>320</v>
      </c>
      <c r="C93" s="125" t="s">
        <v>321</v>
      </c>
      <c r="D93" s="125" t="s">
        <v>322</v>
      </c>
      <c r="E93" s="125"/>
      <c r="F93" s="125" t="s">
        <v>323</v>
      </c>
      <c r="G93" s="125"/>
      <c r="H93" s="125" t="s">
        <v>16</v>
      </c>
      <c r="I93" s="125">
        <v>8</v>
      </c>
      <c r="J93" s="125">
        <v>7</v>
      </c>
      <c r="K93" s="126">
        <v>46237</v>
      </c>
      <c r="L93" s="126">
        <v>46239</v>
      </c>
      <c r="M93" s="125">
        <v>1</v>
      </c>
      <c r="N93" s="128"/>
      <c r="O93" s="128">
        <v>0</v>
      </c>
      <c r="P93" s="125">
        <f t="shared" si="14"/>
        <v>56</v>
      </c>
      <c r="Q93" s="125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29" t="s">
        <v>324</v>
      </c>
      <c r="C94" s="130" t="s">
        <v>325</v>
      </c>
      <c r="D94" s="130"/>
      <c r="E94" s="130"/>
      <c r="F94" s="130"/>
      <c r="G94" s="130"/>
      <c r="H94" s="130"/>
      <c r="I94" s="130"/>
      <c r="J94" s="130"/>
      <c r="K94" s="131"/>
      <c r="L94" s="131"/>
      <c r="M94" s="130"/>
      <c r="N94" s="132"/>
      <c r="O94" s="132"/>
      <c r="P94" s="130"/>
      <c r="Q94" s="13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84"/>
      <c r="C95" s="53"/>
      <c r="D95" s="54"/>
      <c r="F95" s="54"/>
      <c r="G95" s="54"/>
      <c r="H95" s="55"/>
      <c r="I95" s="55"/>
      <c r="J95" s="55"/>
      <c r="K95" s="56"/>
      <c r="L95" s="56"/>
      <c r="M95" s="55"/>
      <c r="N95" s="57"/>
      <c r="O95" s="57"/>
      <c r="P95" s="55"/>
      <c r="Q95" s="55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21" customHeight="1" x14ac:dyDescent="0.25">
      <c r="A96" s="34"/>
      <c r="B96" s="133" t="s">
        <v>326</v>
      </c>
      <c r="C96" s="134" t="s">
        <v>327</v>
      </c>
      <c r="D96" s="134" t="s">
        <v>328</v>
      </c>
      <c r="E96" s="134"/>
      <c r="F96" s="134" t="s">
        <v>329</v>
      </c>
      <c r="G96" s="134"/>
      <c r="H96" s="134" t="s">
        <v>17</v>
      </c>
      <c r="I96" s="134">
        <v>9</v>
      </c>
      <c r="J96" s="134">
        <v>5</v>
      </c>
      <c r="K96" s="135">
        <v>46240</v>
      </c>
      <c r="L96" s="135">
        <v>46241</v>
      </c>
      <c r="M96" s="134">
        <v>1</v>
      </c>
      <c r="N96" s="136"/>
      <c r="O96" s="136">
        <v>0</v>
      </c>
      <c r="P96" s="134">
        <f t="shared" ref="P96:P106" si="16">ROUND(I96*J96*M96,1)</f>
        <v>45</v>
      </c>
      <c r="Q96" s="134">
        <f t="shared" ref="Q96:Q106" si="17">ROUND(P96*O96,1)</f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21" customHeight="1" x14ac:dyDescent="0.25">
      <c r="A97" s="34"/>
      <c r="B97" s="133" t="s">
        <v>330</v>
      </c>
      <c r="C97" s="134" t="s">
        <v>331</v>
      </c>
      <c r="D97" s="134" t="s">
        <v>332</v>
      </c>
      <c r="E97" s="134"/>
      <c r="F97" s="134" t="s">
        <v>333</v>
      </c>
      <c r="G97" s="134"/>
      <c r="H97" s="134" t="s">
        <v>17</v>
      </c>
      <c r="I97" s="134">
        <v>9</v>
      </c>
      <c r="J97" s="134">
        <v>6</v>
      </c>
      <c r="K97" s="135">
        <v>46240</v>
      </c>
      <c r="L97" s="135">
        <v>46241</v>
      </c>
      <c r="M97" s="134">
        <v>1</v>
      </c>
      <c r="N97" s="136"/>
      <c r="O97" s="136">
        <v>0</v>
      </c>
      <c r="P97" s="134">
        <f t="shared" si="16"/>
        <v>54</v>
      </c>
      <c r="Q97" s="134">
        <f t="shared" si="17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21" customHeight="1" x14ac:dyDescent="0.25">
      <c r="A98" s="34"/>
      <c r="B98" s="133" t="s">
        <v>334</v>
      </c>
      <c r="C98" s="134" t="s">
        <v>335</v>
      </c>
      <c r="D98" s="134" t="s">
        <v>336</v>
      </c>
      <c r="E98" s="134"/>
      <c r="F98" s="134" t="s">
        <v>337</v>
      </c>
      <c r="G98" s="134"/>
      <c r="H98" s="134" t="s">
        <v>15</v>
      </c>
      <c r="I98" s="134">
        <v>9</v>
      </c>
      <c r="J98" s="134">
        <v>6</v>
      </c>
      <c r="K98" s="135">
        <v>46240</v>
      </c>
      <c r="L98" s="135">
        <v>46241</v>
      </c>
      <c r="M98" s="134">
        <v>1</v>
      </c>
      <c r="N98" s="136"/>
      <c r="O98" s="136">
        <v>0</v>
      </c>
      <c r="P98" s="134">
        <f t="shared" si="16"/>
        <v>54</v>
      </c>
      <c r="Q98" s="134">
        <f t="shared" si="17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1" customHeight="1" x14ac:dyDescent="0.25">
      <c r="A99" s="34"/>
      <c r="B99" s="133" t="s">
        <v>338</v>
      </c>
      <c r="C99" s="134" t="s">
        <v>339</v>
      </c>
      <c r="D99" s="134" t="s">
        <v>340</v>
      </c>
      <c r="E99" s="134"/>
      <c r="F99" s="134" t="s">
        <v>341</v>
      </c>
      <c r="G99" s="134"/>
      <c r="H99" s="134" t="s">
        <v>16</v>
      </c>
      <c r="I99" s="134">
        <v>9</v>
      </c>
      <c r="J99" s="134">
        <v>6</v>
      </c>
      <c r="K99" s="135">
        <v>46240</v>
      </c>
      <c r="L99" s="135">
        <v>46241</v>
      </c>
      <c r="M99" s="134">
        <v>1</v>
      </c>
      <c r="N99" s="136"/>
      <c r="O99" s="136">
        <v>0</v>
      </c>
      <c r="P99" s="134">
        <f t="shared" si="16"/>
        <v>54</v>
      </c>
      <c r="Q99" s="134">
        <f t="shared" si="17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21" customHeight="1" x14ac:dyDescent="0.25">
      <c r="A100" s="34"/>
      <c r="B100" s="133" t="s">
        <v>342</v>
      </c>
      <c r="C100" s="134" t="s">
        <v>343</v>
      </c>
      <c r="D100" s="134" t="s">
        <v>344</v>
      </c>
      <c r="E100" s="134"/>
      <c r="F100" s="134" t="s">
        <v>345</v>
      </c>
      <c r="G100" s="134"/>
      <c r="H100" s="134" t="s">
        <v>18</v>
      </c>
      <c r="I100" s="134">
        <v>9</v>
      </c>
      <c r="J100" s="134">
        <v>7</v>
      </c>
      <c r="K100" s="135">
        <v>46240</v>
      </c>
      <c r="L100" s="135">
        <v>46241</v>
      </c>
      <c r="M100" s="134">
        <v>2</v>
      </c>
      <c r="N100" s="136"/>
      <c r="O100" s="136">
        <v>0</v>
      </c>
      <c r="P100" s="134">
        <f t="shared" si="16"/>
        <v>126</v>
      </c>
      <c r="Q100" s="134">
        <f t="shared" si="17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21" customHeight="1" x14ac:dyDescent="0.25">
      <c r="A101" s="34"/>
      <c r="B101" s="134" t="s">
        <v>346</v>
      </c>
      <c r="C101" s="134" t="s">
        <v>347</v>
      </c>
      <c r="D101" s="134" t="s">
        <v>348</v>
      </c>
      <c r="E101" s="134"/>
      <c r="F101" s="134" t="s">
        <v>349</v>
      </c>
      <c r="G101" s="134"/>
      <c r="H101" s="134" t="s">
        <v>18</v>
      </c>
      <c r="I101" s="134">
        <v>9</v>
      </c>
      <c r="J101" s="134">
        <v>7</v>
      </c>
      <c r="K101" s="135">
        <v>46240</v>
      </c>
      <c r="L101" s="135">
        <v>46241</v>
      </c>
      <c r="M101" s="134">
        <v>1</v>
      </c>
      <c r="N101" s="134"/>
      <c r="O101" s="134">
        <v>0</v>
      </c>
      <c r="P101" s="134">
        <f t="shared" si="16"/>
        <v>63</v>
      </c>
      <c r="Q101" s="134">
        <f t="shared" si="17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21" customHeight="1" x14ac:dyDescent="0.25">
      <c r="A102" s="34"/>
      <c r="B102" s="133" t="s">
        <v>350</v>
      </c>
      <c r="C102" s="134" t="s">
        <v>351</v>
      </c>
      <c r="D102" s="134" t="s">
        <v>352</v>
      </c>
      <c r="E102" s="134"/>
      <c r="F102" s="134" t="s">
        <v>353</v>
      </c>
      <c r="G102" s="134"/>
      <c r="H102" s="134" t="s">
        <v>16</v>
      </c>
      <c r="I102" s="134">
        <v>9</v>
      </c>
      <c r="J102" s="134">
        <v>8</v>
      </c>
      <c r="K102" s="135">
        <v>46240</v>
      </c>
      <c r="L102" s="135">
        <v>46241</v>
      </c>
      <c r="M102" s="134">
        <v>2</v>
      </c>
      <c r="N102" s="136"/>
      <c r="O102" s="136">
        <v>0</v>
      </c>
      <c r="P102" s="134">
        <f t="shared" si="16"/>
        <v>144</v>
      </c>
      <c r="Q102" s="134">
        <f t="shared" si="17"/>
        <v>0</v>
      </c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1" customHeight="1" x14ac:dyDescent="0.25">
      <c r="A103" s="34"/>
      <c r="B103" s="133" t="s">
        <v>354</v>
      </c>
      <c r="C103" s="134" t="s">
        <v>355</v>
      </c>
      <c r="D103" s="134" t="s">
        <v>356</v>
      </c>
      <c r="E103" s="134"/>
      <c r="F103" s="134" t="s">
        <v>357</v>
      </c>
      <c r="G103" s="134"/>
      <c r="H103" s="134" t="s">
        <v>17</v>
      </c>
      <c r="I103" s="134">
        <v>10</v>
      </c>
      <c r="J103" s="134">
        <v>5</v>
      </c>
      <c r="K103" s="135">
        <v>46240</v>
      </c>
      <c r="L103" s="135">
        <v>46241</v>
      </c>
      <c r="M103" s="134">
        <v>1</v>
      </c>
      <c r="N103" s="136"/>
      <c r="O103" s="136">
        <v>0</v>
      </c>
      <c r="P103" s="134">
        <f t="shared" si="16"/>
        <v>50</v>
      </c>
      <c r="Q103" s="134">
        <f t="shared" si="17"/>
        <v>0</v>
      </c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21" customHeight="1" x14ac:dyDescent="0.25">
      <c r="A104" s="34"/>
      <c r="B104" s="133" t="s">
        <v>358</v>
      </c>
      <c r="C104" s="134" t="s">
        <v>359</v>
      </c>
      <c r="D104" s="134" t="s">
        <v>360</v>
      </c>
      <c r="E104" s="134"/>
      <c r="F104" s="134" t="s">
        <v>361</v>
      </c>
      <c r="G104" s="134"/>
      <c r="H104" s="134" t="s">
        <v>15</v>
      </c>
      <c r="I104" s="134">
        <v>7</v>
      </c>
      <c r="J104" s="134">
        <v>5</v>
      </c>
      <c r="K104" s="135">
        <v>46240</v>
      </c>
      <c r="L104" s="135">
        <v>46241</v>
      </c>
      <c r="M104" s="134">
        <v>1</v>
      </c>
      <c r="N104" s="136"/>
      <c r="O104" s="136">
        <v>0</v>
      </c>
      <c r="P104" s="134">
        <f t="shared" si="16"/>
        <v>35</v>
      </c>
      <c r="Q104" s="134">
        <f t="shared" si="17"/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21" customHeight="1" x14ac:dyDescent="0.25">
      <c r="A105" s="34"/>
      <c r="B105" s="134" t="s">
        <v>362</v>
      </c>
      <c r="C105" s="134" t="s">
        <v>363</v>
      </c>
      <c r="D105" s="134" t="s">
        <v>364</v>
      </c>
      <c r="E105" s="134"/>
      <c r="F105" s="134" t="s">
        <v>365</v>
      </c>
      <c r="G105" s="134"/>
      <c r="H105" s="134" t="s">
        <v>14</v>
      </c>
      <c r="I105" s="134">
        <v>9</v>
      </c>
      <c r="J105" s="134">
        <v>4</v>
      </c>
      <c r="K105" s="135">
        <v>46240</v>
      </c>
      <c r="L105" s="135">
        <v>46241</v>
      </c>
      <c r="M105" s="134">
        <v>1</v>
      </c>
      <c r="N105" s="134"/>
      <c r="O105" s="134">
        <v>0</v>
      </c>
      <c r="P105" s="134">
        <f t="shared" si="16"/>
        <v>36</v>
      </c>
      <c r="Q105" s="134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21" customHeight="1" x14ac:dyDescent="0.25">
      <c r="A106" s="34"/>
      <c r="B106" s="134" t="s">
        <v>366</v>
      </c>
      <c r="C106" s="134" t="s">
        <v>367</v>
      </c>
      <c r="D106" s="134" t="s">
        <v>368</v>
      </c>
      <c r="E106" s="134"/>
      <c r="F106" s="134" t="s">
        <v>369</v>
      </c>
      <c r="G106" s="134"/>
      <c r="H106" s="134" t="s">
        <v>18</v>
      </c>
      <c r="I106" s="134">
        <v>10</v>
      </c>
      <c r="J106" s="134">
        <v>5</v>
      </c>
      <c r="K106" s="135">
        <v>46240</v>
      </c>
      <c r="L106" s="135">
        <v>46241</v>
      </c>
      <c r="M106" s="134">
        <v>2</v>
      </c>
      <c r="N106" s="134"/>
      <c r="O106" s="134">
        <v>0</v>
      </c>
      <c r="P106" s="134">
        <f t="shared" si="16"/>
        <v>100</v>
      </c>
      <c r="Q106" s="134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64"/>
      <c r="N107" s="64"/>
      <c r="O107" s="64"/>
      <c r="P107" s="64"/>
      <c r="Q107" s="6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85" t="s">
        <v>370</v>
      </c>
      <c r="C108" s="85"/>
      <c r="D108" s="85"/>
      <c r="E108" s="85"/>
      <c r="F108" s="85"/>
      <c r="G108" s="85"/>
      <c r="H108" s="34"/>
      <c r="I108" s="34"/>
      <c r="J108" s="34"/>
      <c r="K108" s="34"/>
      <c r="L108" s="34"/>
      <c r="M108" s="64"/>
      <c r="N108" s="64"/>
      <c r="O108" s="64"/>
      <c r="P108" s="64"/>
      <c r="Q108" s="6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34" t="s">
        <v>371</v>
      </c>
      <c r="C109" s="34" t="s">
        <v>372</v>
      </c>
      <c r="D109" s="34" t="s">
        <v>373</v>
      </c>
      <c r="E109" s="34"/>
      <c r="F109" s="34" t="s">
        <v>374</v>
      </c>
      <c r="G109" s="34" t="s">
        <v>375</v>
      </c>
      <c r="H109" s="34" t="s">
        <v>14</v>
      </c>
      <c r="I109" s="34">
        <v>8</v>
      </c>
      <c r="J109" s="34">
        <v>5</v>
      </c>
      <c r="K109" s="73">
        <v>46228</v>
      </c>
      <c r="L109" s="73">
        <v>46228</v>
      </c>
      <c r="M109" s="64">
        <v>2</v>
      </c>
      <c r="N109" s="64"/>
      <c r="O109" s="64">
        <v>0</v>
      </c>
      <c r="P109" s="64">
        <f t="shared" ref="P109:P118" si="18">ROUND(I109*J109*M109,1)</f>
        <v>80</v>
      </c>
      <c r="Q109" s="64">
        <f t="shared" ref="Q109:Q118" si="19">ROUND(P109*O109,1)</f>
        <v>0</v>
      </c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162" customFormat="1" ht="21" customHeight="1" x14ac:dyDescent="0.25">
      <c r="A110" s="159"/>
      <c r="B110" s="159" t="s">
        <v>376</v>
      </c>
      <c r="C110" s="159" t="s">
        <v>377</v>
      </c>
      <c r="D110" s="159" t="s">
        <v>378</v>
      </c>
      <c r="E110" s="159"/>
      <c r="F110" s="159" t="s">
        <v>379</v>
      </c>
      <c r="G110" s="159" t="s">
        <v>380</v>
      </c>
      <c r="H110" s="159" t="s">
        <v>14</v>
      </c>
      <c r="I110" s="159">
        <v>7</v>
      </c>
      <c r="J110" s="159">
        <v>4</v>
      </c>
      <c r="K110" s="161">
        <v>46228</v>
      </c>
      <c r="L110" s="161">
        <v>46228</v>
      </c>
      <c r="M110" s="160">
        <v>1</v>
      </c>
      <c r="N110" s="160"/>
      <c r="O110" s="160">
        <v>0</v>
      </c>
      <c r="P110" s="160">
        <f t="shared" si="18"/>
        <v>28</v>
      </c>
      <c r="Q110" s="160">
        <f t="shared" si="19"/>
        <v>0</v>
      </c>
      <c r="R110" s="159"/>
      <c r="S110" s="159"/>
      <c r="T110" s="159"/>
      <c r="U110" s="159"/>
      <c r="V110" s="159"/>
      <c r="W110" s="159"/>
      <c r="X110" s="159"/>
      <c r="Y110" s="159"/>
      <c r="Z110" s="159"/>
      <c r="AA110" s="159"/>
      <c r="AB110" s="159"/>
      <c r="AC110" s="159"/>
      <c r="AD110" s="159"/>
      <c r="AE110" s="159"/>
      <c r="AF110" s="159"/>
      <c r="AG110" s="159"/>
      <c r="AH110" s="159"/>
      <c r="AI110" s="159"/>
      <c r="AJ110" s="159"/>
      <c r="AK110" s="159"/>
      <c r="AL110" s="159"/>
      <c r="AM110" s="159"/>
      <c r="AN110" s="159"/>
      <c r="AO110" s="159"/>
      <c r="AP110" s="159"/>
      <c r="AQ110" s="159"/>
      <c r="AR110" s="159"/>
      <c r="AS110" s="159"/>
      <c r="AT110" s="159"/>
      <c r="AU110" s="159"/>
      <c r="AV110" s="159"/>
      <c r="AW110" s="159"/>
      <c r="AX110" s="159"/>
      <c r="AY110" s="159"/>
      <c r="AZ110" s="159"/>
      <c r="BA110" s="159"/>
      <c r="BB110" s="159"/>
      <c r="BC110" s="159"/>
      <c r="BD110" s="159"/>
      <c r="BE110" s="159"/>
      <c r="BF110" s="159"/>
      <c r="BG110" s="159"/>
      <c r="BH110" s="159"/>
      <c r="BI110" s="159"/>
      <c r="BJ110" s="159"/>
      <c r="BK110" s="159"/>
      <c r="BL110" s="159"/>
      <c r="BM110" s="159"/>
      <c r="BN110" s="159"/>
      <c r="BO110" s="159"/>
      <c r="BP110" s="159"/>
      <c r="BQ110" s="159"/>
      <c r="BR110" s="159"/>
      <c r="BS110" s="159"/>
      <c r="BT110" s="159"/>
      <c r="BU110" s="159"/>
      <c r="BV110" s="159"/>
      <c r="BW110" s="159"/>
      <c r="BX110" s="159"/>
      <c r="BY110" s="159"/>
      <c r="BZ110" s="159"/>
      <c r="CA110" s="159"/>
      <c r="CB110" s="159"/>
      <c r="CC110" s="159"/>
      <c r="CD110" s="159"/>
      <c r="CE110" s="159"/>
      <c r="CF110" s="159"/>
      <c r="CG110" s="159"/>
      <c r="CH110" s="159"/>
      <c r="CI110" s="159"/>
      <c r="CJ110" s="159"/>
      <c r="CK110" s="159"/>
      <c r="CL110" s="159"/>
      <c r="CM110" s="159"/>
      <c r="CN110" s="159"/>
      <c r="CO110" s="159"/>
      <c r="CP110" s="159"/>
      <c r="CQ110" s="159"/>
      <c r="CR110" s="159"/>
      <c r="CS110" s="159"/>
      <c r="CT110" s="159"/>
      <c r="CU110" s="159"/>
      <c r="CV110" s="159"/>
      <c r="CW110" s="159"/>
      <c r="CX110" s="159"/>
      <c r="CY110" s="159"/>
      <c r="CZ110" s="159"/>
      <c r="DA110" s="159"/>
      <c r="DB110" s="159"/>
      <c r="DC110" s="159"/>
      <c r="DD110" s="159"/>
      <c r="DE110" s="159"/>
      <c r="DF110" s="159"/>
      <c r="DG110" s="159"/>
      <c r="DH110" s="159"/>
      <c r="DI110" s="159"/>
      <c r="DJ110" s="159"/>
      <c r="DK110" s="159"/>
      <c r="DL110" s="159"/>
    </row>
    <row r="111" spans="1:116" ht="21" customHeight="1" x14ac:dyDescent="0.25">
      <c r="A111" s="34"/>
      <c r="B111" s="34" t="s">
        <v>381</v>
      </c>
      <c r="C111" s="34" t="s">
        <v>382</v>
      </c>
      <c r="D111" s="34" t="s">
        <v>383</v>
      </c>
      <c r="E111" s="34"/>
      <c r="F111" s="34" t="s">
        <v>374</v>
      </c>
      <c r="G111" s="34" t="s">
        <v>384</v>
      </c>
      <c r="H111" s="34" t="s">
        <v>14</v>
      </c>
      <c r="I111" s="34">
        <v>8</v>
      </c>
      <c r="J111" s="34">
        <v>5</v>
      </c>
      <c r="K111" s="73">
        <v>46232</v>
      </c>
      <c r="L111" s="73">
        <v>46232</v>
      </c>
      <c r="M111" s="64">
        <v>2</v>
      </c>
      <c r="N111" s="64"/>
      <c r="O111" s="64">
        <v>0</v>
      </c>
      <c r="P111" s="64">
        <f t="shared" si="18"/>
        <v>80</v>
      </c>
      <c r="Q111" s="64">
        <f t="shared" si="19"/>
        <v>0</v>
      </c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162" customFormat="1" ht="21" customHeight="1" x14ac:dyDescent="0.25">
      <c r="A112" s="159"/>
      <c r="B112" s="159" t="s">
        <v>385</v>
      </c>
      <c r="C112" s="159" t="s">
        <v>386</v>
      </c>
      <c r="D112" s="159" t="s">
        <v>378</v>
      </c>
      <c r="E112" s="159"/>
      <c r="F112" s="159" t="s">
        <v>379</v>
      </c>
      <c r="G112" s="159" t="s">
        <v>387</v>
      </c>
      <c r="H112" s="159" t="s">
        <v>14</v>
      </c>
      <c r="I112" s="159">
        <v>7</v>
      </c>
      <c r="J112" s="159">
        <v>4</v>
      </c>
      <c r="K112" s="161">
        <v>46232</v>
      </c>
      <c r="L112" s="161">
        <v>46232</v>
      </c>
      <c r="M112" s="160">
        <v>1</v>
      </c>
      <c r="N112" s="160"/>
      <c r="O112" s="160">
        <v>0</v>
      </c>
      <c r="P112" s="160">
        <f t="shared" si="18"/>
        <v>28</v>
      </c>
      <c r="Q112" s="160">
        <f t="shared" si="19"/>
        <v>0</v>
      </c>
      <c r="R112" s="159"/>
      <c r="S112" s="159"/>
      <c r="T112" s="159"/>
      <c r="U112" s="159"/>
      <c r="V112" s="159"/>
      <c r="W112" s="159"/>
      <c r="X112" s="159"/>
      <c r="Y112" s="159"/>
      <c r="Z112" s="159"/>
      <c r="AA112" s="159"/>
      <c r="AB112" s="159"/>
      <c r="AC112" s="159"/>
      <c r="AD112" s="159"/>
      <c r="AE112" s="159"/>
      <c r="AF112" s="159"/>
      <c r="AG112" s="159"/>
      <c r="AH112" s="159"/>
      <c r="AI112" s="159"/>
      <c r="AJ112" s="159"/>
      <c r="AK112" s="159"/>
      <c r="AL112" s="159"/>
      <c r="AM112" s="159"/>
      <c r="AN112" s="159"/>
      <c r="AO112" s="159"/>
      <c r="AP112" s="159"/>
      <c r="AQ112" s="159"/>
      <c r="AR112" s="159"/>
      <c r="AS112" s="159"/>
      <c r="AT112" s="159"/>
      <c r="AU112" s="159"/>
      <c r="AV112" s="159"/>
      <c r="AW112" s="159"/>
      <c r="AX112" s="159"/>
      <c r="AY112" s="159"/>
      <c r="AZ112" s="159"/>
      <c r="BA112" s="159"/>
      <c r="BB112" s="159"/>
      <c r="BC112" s="159"/>
      <c r="BD112" s="159"/>
      <c r="BE112" s="159"/>
      <c r="BF112" s="159"/>
      <c r="BG112" s="159"/>
      <c r="BH112" s="159"/>
      <c r="BI112" s="159"/>
      <c r="BJ112" s="159"/>
      <c r="BK112" s="159"/>
      <c r="BL112" s="159"/>
      <c r="BM112" s="159"/>
      <c r="BN112" s="159"/>
      <c r="BO112" s="159"/>
      <c r="BP112" s="159"/>
      <c r="BQ112" s="159"/>
      <c r="BR112" s="159"/>
      <c r="BS112" s="159"/>
      <c r="BT112" s="159"/>
      <c r="BU112" s="159"/>
      <c r="BV112" s="159"/>
      <c r="BW112" s="159"/>
      <c r="BX112" s="159"/>
      <c r="BY112" s="159"/>
      <c r="BZ112" s="159"/>
      <c r="CA112" s="159"/>
      <c r="CB112" s="159"/>
      <c r="CC112" s="159"/>
      <c r="CD112" s="159"/>
      <c r="CE112" s="159"/>
      <c r="CF112" s="159"/>
      <c r="CG112" s="159"/>
      <c r="CH112" s="159"/>
      <c r="CI112" s="159"/>
      <c r="CJ112" s="159"/>
      <c r="CK112" s="159"/>
      <c r="CL112" s="159"/>
      <c r="CM112" s="159"/>
      <c r="CN112" s="159"/>
      <c r="CO112" s="159"/>
      <c r="CP112" s="159"/>
      <c r="CQ112" s="159"/>
      <c r="CR112" s="159"/>
      <c r="CS112" s="159"/>
      <c r="CT112" s="159"/>
      <c r="CU112" s="159"/>
      <c r="CV112" s="159"/>
      <c r="CW112" s="159"/>
      <c r="CX112" s="159"/>
      <c r="CY112" s="159"/>
      <c r="CZ112" s="159"/>
      <c r="DA112" s="159"/>
      <c r="DB112" s="159"/>
      <c r="DC112" s="159"/>
      <c r="DD112" s="159"/>
      <c r="DE112" s="159"/>
      <c r="DF112" s="159"/>
      <c r="DG112" s="159"/>
      <c r="DH112" s="159"/>
      <c r="DI112" s="159"/>
      <c r="DJ112" s="159"/>
      <c r="DK112" s="159"/>
      <c r="DL112" s="159"/>
    </row>
    <row r="113" spans="1:116" ht="21" customHeight="1" x14ac:dyDescent="0.25">
      <c r="A113" s="34"/>
      <c r="B113" s="34" t="s">
        <v>388</v>
      </c>
      <c r="C113" s="34" t="s">
        <v>389</v>
      </c>
      <c r="D113" s="34" t="s">
        <v>390</v>
      </c>
      <c r="E113" s="34"/>
      <c r="F113" s="34" t="s">
        <v>374</v>
      </c>
      <c r="G113" s="34" t="s">
        <v>391</v>
      </c>
      <c r="H113" s="34" t="s">
        <v>14</v>
      </c>
      <c r="I113" s="34">
        <v>8</v>
      </c>
      <c r="J113" s="34">
        <v>5</v>
      </c>
      <c r="K113" s="73">
        <v>46235</v>
      </c>
      <c r="L113" s="73">
        <v>46235</v>
      </c>
      <c r="M113" s="64">
        <v>2</v>
      </c>
      <c r="N113" s="64"/>
      <c r="O113" s="64">
        <v>0</v>
      </c>
      <c r="P113" s="64">
        <f t="shared" si="18"/>
        <v>80</v>
      </c>
      <c r="Q113" s="64">
        <f t="shared" si="19"/>
        <v>0</v>
      </c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162" customFormat="1" ht="21" customHeight="1" x14ac:dyDescent="0.25">
      <c r="A114" s="159"/>
      <c r="B114" s="159" t="s">
        <v>392</v>
      </c>
      <c r="C114" s="159" t="s">
        <v>393</v>
      </c>
      <c r="D114" s="159" t="s">
        <v>378</v>
      </c>
      <c r="E114" s="159"/>
      <c r="F114" s="159" t="s">
        <v>379</v>
      </c>
      <c r="G114" s="159" t="s">
        <v>394</v>
      </c>
      <c r="H114" s="159" t="s">
        <v>14</v>
      </c>
      <c r="I114" s="159">
        <v>7</v>
      </c>
      <c r="J114" s="159">
        <v>4</v>
      </c>
      <c r="K114" s="161">
        <v>46235</v>
      </c>
      <c r="L114" s="161">
        <v>46235</v>
      </c>
      <c r="M114" s="160">
        <v>1</v>
      </c>
      <c r="N114" s="160"/>
      <c r="O114" s="160">
        <v>0</v>
      </c>
      <c r="P114" s="160">
        <f t="shared" si="18"/>
        <v>28</v>
      </c>
      <c r="Q114" s="160">
        <f t="shared" si="19"/>
        <v>0</v>
      </c>
      <c r="R114" s="159"/>
      <c r="S114" s="159"/>
      <c r="T114" s="159"/>
      <c r="U114" s="159"/>
      <c r="V114" s="159"/>
      <c r="W114" s="159"/>
      <c r="X114" s="159"/>
      <c r="Y114" s="159"/>
      <c r="Z114" s="159"/>
      <c r="AA114" s="159"/>
      <c r="AB114" s="159"/>
      <c r="AC114" s="159"/>
      <c r="AD114" s="159"/>
      <c r="AE114" s="159"/>
      <c r="AF114" s="159"/>
      <c r="AG114" s="159"/>
      <c r="AH114" s="159"/>
      <c r="AI114" s="159"/>
      <c r="AJ114" s="159"/>
      <c r="AK114" s="159"/>
      <c r="AL114" s="159"/>
      <c r="AM114" s="159"/>
      <c r="AN114" s="159"/>
      <c r="AO114" s="159"/>
      <c r="AP114" s="159"/>
      <c r="AQ114" s="159"/>
      <c r="AR114" s="159"/>
      <c r="AS114" s="159"/>
      <c r="AT114" s="159"/>
      <c r="AU114" s="159"/>
      <c r="AV114" s="159"/>
      <c r="AW114" s="159"/>
      <c r="AX114" s="159"/>
      <c r="AY114" s="159"/>
      <c r="AZ114" s="159"/>
      <c r="BA114" s="159"/>
      <c r="BB114" s="159"/>
      <c r="BC114" s="159"/>
      <c r="BD114" s="159"/>
      <c r="BE114" s="159"/>
      <c r="BF114" s="159"/>
      <c r="BG114" s="159"/>
      <c r="BH114" s="159"/>
      <c r="BI114" s="159"/>
      <c r="BJ114" s="159"/>
      <c r="BK114" s="159"/>
      <c r="BL114" s="159"/>
      <c r="BM114" s="159"/>
      <c r="BN114" s="159"/>
      <c r="BO114" s="159"/>
      <c r="BP114" s="159"/>
      <c r="BQ114" s="159"/>
      <c r="BR114" s="159"/>
      <c r="BS114" s="159"/>
      <c r="BT114" s="159"/>
      <c r="BU114" s="159"/>
      <c r="BV114" s="159"/>
      <c r="BW114" s="159"/>
      <c r="BX114" s="159"/>
      <c r="BY114" s="159"/>
      <c r="BZ114" s="159"/>
      <c r="CA114" s="159"/>
      <c r="CB114" s="159"/>
      <c r="CC114" s="159"/>
      <c r="CD114" s="159"/>
      <c r="CE114" s="159"/>
      <c r="CF114" s="159"/>
      <c r="CG114" s="159"/>
      <c r="CH114" s="159"/>
      <c r="CI114" s="159"/>
      <c r="CJ114" s="159"/>
      <c r="CK114" s="159"/>
      <c r="CL114" s="159"/>
      <c r="CM114" s="159"/>
      <c r="CN114" s="159"/>
      <c r="CO114" s="159"/>
      <c r="CP114" s="159"/>
      <c r="CQ114" s="159"/>
      <c r="CR114" s="159"/>
      <c r="CS114" s="159"/>
      <c r="CT114" s="159"/>
      <c r="CU114" s="159"/>
      <c r="CV114" s="159"/>
      <c r="CW114" s="159"/>
      <c r="CX114" s="159"/>
      <c r="CY114" s="159"/>
      <c r="CZ114" s="159"/>
      <c r="DA114" s="159"/>
      <c r="DB114" s="159"/>
      <c r="DC114" s="159"/>
      <c r="DD114" s="159"/>
      <c r="DE114" s="159"/>
      <c r="DF114" s="159"/>
      <c r="DG114" s="159"/>
      <c r="DH114" s="159"/>
      <c r="DI114" s="159"/>
      <c r="DJ114" s="159"/>
      <c r="DK114" s="159"/>
      <c r="DL114" s="159"/>
    </row>
    <row r="115" spans="1:116" s="158" customFormat="1" ht="21" customHeight="1" x14ac:dyDescent="0.25">
      <c r="A115" s="34"/>
      <c r="B115" s="52" t="s">
        <v>395</v>
      </c>
      <c r="C115" s="52" t="s">
        <v>396</v>
      </c>
      <c r="D115" s="52" t="s">
        <v>397</v>
      </c>
      <c r="E115" s="52"/>
      <c r="F115" s="52" t="s">
        <v>374</v>
      </c>
      <c r="G115" s="52" t="s">
        <v>398</v>
      </c>
      <c r="H115" s="34" t="s">
        <v>14</v>
      </c>
      <c r="I115" s="34">
        <v>8</v>
      </c>
      <c r="J115" s="34">
        <v>5</v>
      </c>
      <c r="K115" s="138">
        <v>46239</v>
      </c>
      <c r="L115" s="138">
        <v>46239</v>
      </c>
      <c r="M115" s="64">
        <v>2</v>
      </c>
      <c r="N115" s="64"/>
      <c r="O115" s="64">
        <v>0</v>
      </c>
      <c r="P115" s="64">
        <f t="shared" si="18"/>
        <v>80</v>
      </c>
      <c r="Q115" s="64">
        <f t="shared" si="19"/>
        <v>0</v>
      </c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162" customFormat="1" ht="21" customHeight="1" x14ac:dyDescent="0.25">
      <c r="A116" s="159"/>
      <c r="B116" s="159" t="s">
        <v>399</v>
      </c>
      <c r="C116" s="159" t="s">
        <v>400</v>
      </c>
      <c r="D116" s="159" t="s">
        <v>378</v>
      </c>
      <c r="E116" s="159"/>
      <c r="F116" s="159" t="s">
        <v>379</v>
      </c>
      <c r="G116" s="159" t="s">
        <v>401</v>
      </c>
      <c r="H116" s="159" t="s">
        <v>14</v>
      </c>
      <c r="I116" s="159">
        <v>7</v>
      </c>
      <c r="J116" s="159">
        <v>4</v>
      </c>
      <c r="K116" s="161">
        <v>46239</v>
      </c>
      <c r="L116" s="161">
        <v>46239</v>
      </c>
      <c r="M116" s="160">
        <v>1</v>
      </c>
      <c r="N116" s="160"/>
      <c r="O116" s="160">
        <v>0</v>
      </c>
      <c r="P116" s="160">
        <f t="shared" si="18"/>
        <v>28</v>
      </c>
      <c r="Q116" s="160">
        <f t="shared" si="19"/>
        <v>0</v>
      </c>
      <c r="R116" s="159"/>
      <c r="S116" s="159"/>
      <c r="T116" s="159"/>
      <c r="U116" s="159"/>
      <c r="V116" s="159"/>
      <c r="W116" s="159"/>
      <c r="X116" s="159"/>
      <c r="Y116" s="159"/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  <c r="AK116" s="159"/>
      <c r="AL116" s="159"/>
      <c r="AM116" s="159"/>
      <c r="AN116" s="159"/>
      <c r="AO116" s="159"/>
      <c r="AP116" s="159"/>
      <c r="AQ116" s="159"/>
      <c r="AR116" s="159"/>
      <c r="AS116" s="159"/>
      <c r="AT116" s="159"/>
      <c r="AU116" s="159"/>
      <c r="AV116" s="159"/>
      <c r="AW116" s="159"/>
      <c r="AX116" s="159"/>
      <c r="AY116" s="159"/>
      <c r="AZ116" s="159"/>
      <c r="BA116" s="159"/>
      <c r="BB116" s="159"/>
      <c r="BC116" s="159"/>
      <c r="BD116" s="159"/>
      <c r="BE116" s="159"/>
      <c r="BF116" s="159"/>
      <c r="BG116" s="159"/>
      <c r="BH116" s="159"/>
      <c r="BI116" s="159"/>
      <c r="BJ116" s="159"/>
      <c r="BK116" s="159"/>
      <c r="BL116" s="159"/>
      <c r="BM116" s="159"/>
      <c r="BN116" s="159"/>
      <c r="BO116" s="159"/>
      <c r="BP116" s="159"/>
      <c r="BQ116" s="159"/>
      <c r="BR116" s="159"/>
      <c r="BS116" s="159"/>
      <c r="BT116" s="159"/>
      <c r="BU116" s="159"/>
      <c r="BV116" s="159"/>
      <c r="BW116" s="159"/>
      <c r="BX116" s="159"/>
      <c r="BY116" s="159"/>
      <c r="BZ116" s="159"/>
      <c r="CA116" s="159"/>
      <c r="CB116" s="159"/>
      <c r="CC116" s="159"/>
      <c r="CD116" s="159"/>
      <c r="CE116" s="159"/>
      <c r="CF116" s="159"/>
      <c r="CG116" s="159"/>
      <c r="CH116" s="159"/>
      <c r="CI116" s="159"/>
      <c r="CJ116" s="159"/>
      <c r="CK116" s="159"/>
      <c r="CL116" s="159"/>
      <c r="CM116" s="159"/>
      <c r="CN116" s="159"/>
      <c r="CO116" s="159"/>
      <c r="CP116" s="159"/>
      <c r="CQ116" s="159"/>
      <c r="CR116" s="159"/>
      <c r="CS116" s="159"/>
      <c r="CT116" s="159"/>
      <c r="CU116" s="159"/>
      <c r="CV116" s="159"/>
      <c r="CW116" s="159"/>
      <c r="CX116" s="159"/>
      <c r="CY116" s="159"/>
      <c r="CZ116" s="159"/>
      <c r="DA116" s="159"/>
      <c r="DB116" s="159"/>
      <c r="DC116" s="159"/>
      <c r="DD116" s="159"/>
      <c r="DE116" s="159"/>
      <c r="DF116" s="159"/>
      <c r="DG116" s="159"/>
      <c r="DH116" s="159"/>
      <c r="DI116" s="159"/>
      <c r="DJ116" s="159"/>
      <c r="DK116" s="159"/>
      <c r="DL116" s="159"/>
    </row>
    <row r="117" spans="1:116" ht="21" customHeight="1" x14ac:dyDescent="0.25">
      <c r="A117" s="34"/>
      <c r="B117" s="34" t="s">
        <v>402</v>
      </c>
      <c r="C117" s="34" t="s">
        <v>403</v>
      </c>
      <c r="D117" s="34" t="s">
        <v>404</v>
      </c>
      <c r="E117" s="34"/>
      <c r="F117" s="34" t="s">
        <v>374</v>
      </c>
      <c r="G117" s="34" t="s">
        <v>405</v>
      </c>
      <c r="H117" s="34" t="s">
        <v>14</v>
      </c>
      <c r="I117" s="34">
        <v>8</v>
      </c>
      <c r="J117" s="34">
        <v>5</v>
      </c>
      <c r="K117" s="73">
        <v>46241</v>
      </c>
      <c r="L117" s="73">
        <v>46241</v>
      </c>
      <c r="M117" s="64">
        <v>2</v>
      </c>
      <c r="N117" s="64"/>
      <c r="O117" s="64">
        <v>0</v>
      </c>
      <c r="P117" s="64">
        <f t="shared" si="18"/>
        <v>80</v>
      </c>
      <c r="Q117" s="64">
        <f t="shared" si="19"/>
        <v>0</v>
      </c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 t="s">
        <v>406</v>
      </c>
      <c r="C118" s="34" t="s">
        <v>407</v>
      </c>
      <c r="D118" s="34" t="s">
        <v>378</v>
      </c>
      <c r="E118" s="34"/>
      <c r="F118" s="34" t="s">
        <v>379</v>
      </c>
      <c r="G118" s="34" t="s">
        <v>408</v>
      </c>
      <c r="H118" s="34" t="s">
        <v>14</v>
      </c>
      <c r="I118" s="34">
        <v>7</v>
      </c>
      <c r="J118" s="34">
        <v>4</v>
      </c>
      <c r="K118" s="73">
        <v>46241</v>
      </c>
      <c r="L118" s="73">
        <v>46241</v>
      </c>
      <c r="M118" s="64">
        <v>1</v>
      </c>
      <c r="N118" s="64"/>
      <c r="O118" s="64">
        <v>0</v>
      </c>
      <c r="P118" s="64">
        <f t="shared" si="18"/>
        <v>28</v>
      </c>
      <c r="Q118" s="64">
        <f t="shared" si="19"/>
        <v>0</v>
      </c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85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85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85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85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85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85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85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85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85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85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85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34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34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34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34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34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34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34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34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34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BH14:CB15"/>
    <mergeCell ref="R4:Z4"/>
    <mergeCell ref="D14:E16"/>
    <mergeCell ref="H14:H17"/>
    <mergeCell ref="N14:N16"/>
    <mergeCell ref="B18:CW20"/>
    <mergeCell ref="B14:B17"/>
    <mergeCell ref="Z2:AT2"/>
    <mergeCell ref="AM14:BG15"/>
    <mergeCell ref="CC14:CW15"/>
    <mergeCell ref="J14:J16"/>
    <mergeCell ref="P14:P16"/>
    <mergeCell ref="L14:L17"/>
    <mergeCell ref="H5:M5"/>
    <mergeCell ref="AB4:AQ4"/>
    <mergeCell ref="R5:Z5"/>
    <mergeCell ref="K14:K17"/>
    <mergeCell ref="M14:M17"/>
    <mergeCell ref="O14:O17"/>
    <mergeCell ref="B5:C5"/>
    <mergeCell ref="H4:M4"/>
    <mergeCell ref="C14:C17"/>
    <mergeCell ref="B2:M2"/>
    <mergeCell ref="G14:G16"/>
    <mergeCell ref="I14:I16"/>
    <mergeCell ref="R14:AL15"/>
    <mergeCell ref="Q14:Q17"/>
    <mergeCell ref="F14:F16"/>
    <mergeCell ref="AB5:AP5"/>
    <mergeCell ref="R2:Y2"/>
    <mergeCell ref="B4:C4"/>
  </mergeCells>
  <conditionalFormatting sqref="N22:O32 N34:O56 N60:O104 P42:Q42 P60:Q60 P67:Q67 P74:Q74 P82:Q82 P92:Q92 P101:Q101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count="1">
    <dataValidation type="list" allowBlank="1" showErrorMessage="1" sqref="H22:H32 H34:H41 H43:H56 H61:H66 H68:H73 H75:H81 H83:H91 H93:H100 H102:H104" xr:uid="{00000000-0002-0000-0100-000000000000}">
      <formula1>"Chiến,Đức,Tài,Bảo"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B3" sqref="B3:G3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57" t="s">
        <v>429</v>
      </c>
      <c r="C3" s="142"/>
      <c r="D3" s="142"/>
      <c r="E3" s="142"/>
      <c r="F3" s="142"/>
      <c r="G3" s="142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430</v>
      </c>
      <c r="C5" s="4" t="s">
        <v>431</v>
      </c>
      <c r="D5" s="4" t="s">
        <v>432</v>
      </c>
      <c r="E5" s="4" t="s">
        <v>433</v>
      </c>
      <c r="F5" s="4" t="s">
        <v>434</v>
      </c>
      <c r="G5" s="4" t="s">
        <v>435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2026-07-30T14:50:27Z</dcterms:modified>
</cp:coreProperties>
</file>